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MAMP\htdocs\DentaTrak\documentation\"/>
    </mc:Choice>
  </mc:AlternateContent>
  <xr:revisionPtr revIDLastSave="0" documentId="13_ncr:1_{F3F94694-3C51-4090-840C-C7330D143225}" xr6:coauthVersionLast="47" xr6:coauthVersionMax="47" xr10:uidLastSave="{00000000-0000-0000-0000-000000000000}"/>
  <bookViews>
    <workbookView xWindow="2985" yWindow="3105" windowWidth="21600" windowHeight="11295" xr2:uid="{B30AA0F8-B590-4D13-9530-2CA8176256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1" l="1"/>
  <c r="G9" i="1"/>
  <c r="F9" i="1"/>
  <c r="H8" i="1"/>
  <c r="G8" i="1"/>
  <c r="F8" i="1"/>
  <c r="H7" i="1"/>
  <c r="G7" i="1"/>
  <c r="F7" i="1"/>
  <c r="H6" i="1"/>
  <c r="G6" i="1"/>
  <c r="F6" i="1"/>
  <c r="F10" i="1" l="1"/>
  <c r="G10" i="1"/>
  <c r="I9" i="1"/>
  <c r="H10" i="1"/>
  <c r="I8" i="1"/>
  <c r="I6" i="1"/>
  <c r="I7" i="1"/>
  <c r="I10" i="1" l="1"/>
  <c r="J8" i="1" l="1"/>
  <c r="J9" i="1"/>
  <c r="G11" i="1"/>
  <c r="F11" i="1"/>
  <c r="H11" i="1"/>
  <c r="J6" i="1"/>
  <c r="J7" i="1"/>
</calcChain>
</file>

<file path=xl/sharedStrings.xml><?xml version="1.0" encoding="utf-8"?>
<sst xmlns="http://schemas.openxmlformats.org/spreadsheetml/2006/main" count="815" uniqueCount="308">
  <si>
    <t>ISSUE TRACKER</t>
  </si>
  <si>
    <t>DASHBOARD</t>
  </si>
  <si>
    <t>Project Name</t>
  </si>
  <si>
    <t>High</t>
  </si>
  <si>
    <t>Medium</t>
  </si>
  <si>
    <t>Low</t>
  </si>
  <si>
    <t>Total</t>
  </si>
  <si>
    <t>%</t>
  </si>
  <si>
    <t>Dental Case Tracker Pro</t>
  </si>
  <si>
    <t>Closed</t>
  </si>
  <si>
    <t>Office</t>
  </si>
  <si>
    <t>In Progress</t>
  </si>
  <si>
    <t>Not Started</t>
  </si>
  <si>
    <t>Project Owner</t>
  </si>
  <si>
    <t>Jason Hochwender</t>
  </si>
  <si>
    <t>#</t>
  </si>
  <si>
    <t>ISSUE</t>
  </si>
  <si>
    <t>DESCRIPTION</t>
  </si>
  <si>
    <t>PRIORITY</t>
  </si>
  <si>
    <t>DEPARTMENT</t>
  </si>
  <si>
    <t>INITIATOR</t>
  </si>
  <si>
    <t>STATUS</t>
  </si>
  <si>
    <t>OPENED ON</t>
  </si>
  <si>
    <t>CLOSED ON</t>
  </si>
  <si>
    <t>Long load times</t>
  </si>
  <si>
    <t>Loading the application takes &gt; 30 seconds causing time out issues</t>
  </si>
  <si>
    <t>Settings menu</t>
  </si>
  <si>
    <t>Remove dividers in menu</t>
  </si>
  <si>
    <t>Dev case creation</t>
  </si>
  <si>
    <t>Dev test data creation is timing out</t>
  </si>
  <si>
    <t>Walk through</t>
  </si>
  <si>
    <t>Add walkthrough/over view for first time visitors</t>
  </si>
  <si>
    <t>Contact Us Page</t>
  </si>
  <si>
    <t>Clean up contact us page (i.e. icons)</t>
  </si>
  <si>
    <t>Billing</t>
  </si>
  <si>
    <t>Add stripe billing</t>
  </si>
  <si>
    <t>Delivered status</t>
  </si>
  <si>
    <t>Remove cases in the delivered status after x number of days</t>
  </si>
  <si>
    <t>Settings modal</t>
  </si>
  <si>
    <t>Add a cancel button to the settings modal</t>
  </si>
  <si>
    <t>Admin functions</t>
  </si>
  <si>
    <t>Set admin functionality in the settings menu</t>
  </si>
  <si>
    <t>Drag and Drop loading</t>
  </si>
  <si>
    <t>Add a loading indicator when doing drag and drop</t>
  </si>
  <si>
    <t>No actions during a loading state</t>
  </si>
  <si>
    <t>Ensure no keyboard shortcuts or other actions during loading</t>
  </si>
  <si>
    <t>Order of buttons in modal</t>
  </si>
  <si>
    <t>Switch the order of the save and cancel buttons in the modal</t>
  </si>
  <si>
    <t>Capture useage activity</t>
  </si>
  <si>
    <t>Ensure we are capturing all changes of status etc</t>
  </si>
  <si>
    <t>Filter UX</t>
  </si>
  <si>
    <t>Improve the UX of the filter functionality including removal of the dates</t>
  </si>
  <si>
    <t>Double click to edit</t>
  </si>
  <si>
    <t>Trigger editing of a case by a double click</t>
  </si>
  <si>
    <t>Consistent modal experience</t>
  </si>
  <si>
    <t>The modals should all behave the same including button positioning, functionality etc</t>
  </si>
  <si>
    <t>Enter key in create case</t>
  </si>
  <si>
    <t>The enter key should trigger the create case modal</t>
  </si>
  <si>
    <t>Speed up drag and drop</t>
  </si>
  <si>
    <t>The drag and drop functionality is way too slow.</t>
  </si>
  <si>
    <t>Code cleanup</t>
  </si>
  <si>
    <t>Make sure unused code is removed and remaining code is thoroughly commented</t>
  </si>
  <si>
    <t>Testing</t>
  </si>
  <si>
    <t>Complete end-to-end testing including perf testing</t>
  </si>
  <si>
    <t>File attachments</t>
  </si>
  <si>
    <t>Need view/download capability</t>
  </si>
  <si>
    <t>Revision history</t>
  </si>
  <si>
    <t>Add revision history to cases when in edit mode</t>
  </si>
  <si>
    <t>`</t>
  </si>
  <si>
    <t>Make revision history more thorough and detailed</t>
  </si>
  <si>
    <t>Ensure multiple files can be added to each section</t>
  </si>
  <si>
    <t>File attachment issue</t>
  </si>
  <si>
    <t>Timeout</t>
  </si>
  <si>
    <t>Need to handlethe timeout more gracefully</t>
  </si>
  <si>
    <t>Allow archiving</t>
  </si>
  <si>
    <t>Allow archiving of individual cases should be checked by default</t>
  </si>
  <si>
    <t>View archeived</t>
  </si>
  <si>
    <t>Need an option to view the archeived cases</t>
  </si>
  <si>
    <t>Print button</t>
  </si>
  <si>
    <t>Move Archive button up and extend print across bottom</t>
  </si>
  <si>
    <t>Billing tiers</t>
  </si>
  <si>
    <t>Need to add billing tiers (Free, Standard, Pro)</t>
  </si>
  <si>
    <t>Editing while Printing</t>
  </si>
  <si>
    <t>No editing of a case while it is in process of printing/generating</t>
  </si>
  <si>
    <t>Remove all debug code</t>
  </si>
  <si>
    <t>Improve Visual Design</t>
  </si>
  <si>
    <t>I hate the current color scheme</t>
  </si>
  <si>
    <t>Default Status</t>
  </si>
  <si>
    <t>Default to Origininated</t>
  </si>
  <si>
    <t>Assigned To</t>
  </si>
  <si>
    <t>Should not say Loading Users</t>
  </si>
  <si>
    <t>Printed output</t>
  </si>
  <si>
    <t>Printed output should be adjusted to fit the width</t>
  </si>
  <si>
    <t>Printed output issue w/PDFs</t>
  </si>
  <si>
    <t>PDFs that are attached don't get printed properly</t>
  </si>
  <si>
    <t>Analytics tab</t>
  </si>
  <si>
    <t>Add tabs to the main page including one for analytics</t>
  </si>
  <si>
    <t>Add analytics and dashboard functionality</t>
  </si>
  <si>
    <t>Improve the visual design of the contact us page</t>
  </si>
  <si>
    <t>Encrypt DB</t>
  </si>
  <si>
    <t>Ensure the db is as secure as fucking possible - encrypted, long password, etc</t>
  </si>
  <si>
    <t>Not seeing all users</t>
  </si>
  <si>
    <t>I am missing from the assign to user list in the create case modal</t>
  </si>
  <si>
    <t>Lanes toolitip</t>
  </si>
  <si>
    <t>The hint text in the manufactured lane is No cases in this stage. Which is different from the others. Same as Received From External Lab</t>
  </si>
  <si>
    <t>Help Center</t>
  </si>
  <si>
    <t>Need help center information</t>
  </si>
  <si>
    <t>Need live chat option</t>
  </si>
  <si>
    <t>Drag and Drop</t>
  </si>
  <si>
    <t>Drag and drop is way too slow</t>
  </si>
  <si>
    <t>Archived cases</t>
  </si>
  <si>
    <t>Archived cases should have a minimum width</t>
  </si>
  <si>
    <t>Revision Hhistory</t>
  </si>
  <si>
    <t>Verify the revision history is capturing all events properly</t>
  </si>
  <si>
    <t>Plan pill</t>
  </si>
  <si>
    <t>Update the plan pill including link when on the pro plan</t>
  </si>
  <si>
    <t>Create case</t>
  </si>
  <si>
    <t>Creating a case takes forever</t>
  </si>
  <si>
    <t>Close without saving functionality isn't working</t>
  </si>
  <si>
    <t>When creating a case, if there are errors, scroll back to the top</t>
  </si>
  <si>
    <t>Walkthrough</t>
  </si>
  <si>
    <t>First walkthrough slide is too close to the left edge as is the second one and the Analytics dashboard. The thrird one "Search Cases" - the View Archived Cases is on top of it a bit.</t>
  </si>
  <si>
    <t>Change pricing to $495 and $995</t>
  </si>
  <si>
    <t>Change tiers to Evaluate, Operate, and Control</t>
  </si>
  <si>
    <t>No limited cases for evaluate - 30 days for everything</t>
  </si>
  <si>
    <t>Login</t>
  </si>
  <si>
    <t>Case Movement</t>
  </si>
  <si>
    <t>When draging, change case alignment based on drag direction</t>
  </si>
  <si>
    <t>Allow logging in with email instead of google</t>
  </si>
  <si>
    <t>If logging in with email, save that option</t>
  </si>
  <si>
    <t>Adding users</t>
  </si>
  <si>
    <t>Make sure that there is no gmal restrictions when adding someone</t>
  </si>
  <si>
    <t>Logging in as secondary user</t>
  </si>
  <si>
    <t>Documentation</t>
  </si>
  <si>
    <t>Create application documentation including architectural overview, functionality, build/release information</t>
  </si>
  <si>
    <t>Code Cleanup</t>
  </si>
  <si>
    <t>Ensure code is commented and well organized</t>
  </si>
  <si>
    <t>Add privacy policy and terms of service to google</t>
  </si>
  <si>
    <t>On the billing page make sure the information in the upper left hand corner is accurate and updated</t>
  </si>
  <si>
    <t>Cases</t>
  </si>
  <si>
    <t>Add number of days in current case</t>
  </si>
  <si>
    <t>Activity Log</t>
  </si>
  <si>
    <t>Make sure that case printing is included in activity log</t>
  </si>
  <si>
    <t>If user is on the Operate plan and they have more than say 5 users (after switching from the evaluate plan) - show a message that says something like "This workspace exceeds typical Operate usage. Control unlocks full visibility and unlimited roles.Upgrade now". If they are on the operate plan and have &lt; 5 users don't allow them to add more than 5. I would prefer this be something we can put in the appConfig so it can be changed easily</t>
  </si>
  <si>
    <t>In the Practice Users and Roles section add an option so that the person added can be limited to just cases assigned to them</t>
  </si>
  <si>
    <t>Dev Tools</t>
  </si>
  <si>
    <t>Make window slightly taller so I don't have to scroll</t>
  </si>
  <si>
    <t>View record count on the View Archived Cases button</t>
  </si>
  <si>
    <t>When I click the archive button on an individual case, the total count needs to get updated</t>
  </si>
  <si>
    <t>Delivered isn't working</t>
  </si>
  <si>
    <t>Billing Plan</t>
  </si>
  <si>
    <t>User should NOT have access to the anlytics tab if they are on the Operate plan. Also, if user is on the Operate plan and they have more than 5 users (after switching from the evaluate plan) - show a message inline that says something like "This workspace exceeds typical Operate usage. Control unlocks full visibility and unlimited roles.Upgrade now". If they are on the operate plan and have &lt; 5 users don't allow them to add more than 5. I would prefer the number of users to limit to is something we can put in the appConfig so it can be changed easily</t>
  </si>
  <si>
    <t>URL</t>
  </si>
  <si>
    <t>Make sure www.dentatrak, dentrak.com, http://dentatrack.com, http://www.dentatrack.com, https://www.dentatrack.com and https://dentatrack.com all direct to dentatrak.com</t>
  </si>
  <si>
    <t>If I type an email in and hit enter (i.e. I have focus in that field) it should trigger the add user button. If I have text in that field and click save at the button it should also add that user</t>
  </si>
  <si>
    <t>The table header shouldn't be the same color as the ros below it. It needs to stand out just a bit more</t>
  </si>
  <si>
    <t>Labels</t>
  </si>
  <si>
    <t>Limit the number of labels just like we would with users</t>
  </si>
  <si>
    <t>Tooltips</t>
  </si>
  <si>
    <t>Tooltips need to be styled better</t>
  </si>
  <si>
    <t>AI</t>
  </si>
  <si>
    <t>Don't show AI recommendations on the analytics tab if there are no cases</t>
  </si>
  <si>
    <t>Backups</t>
  </si>
  <si>
    <t>Settings</t>
  </si>
  <si>
    <t>Need to confirm with user when unsaved changes</t>
  </si>
  <si>
    <t>Logging</t>
  </si>
  <si>
    <t>It looks like we might be duplicating things in the case log</t>
  </si>
  <si>
    <t>Remove "Google Cloud Powered"</t>
  </si>
  <si>
    <t xml:space="preserve">Left Justify Email and Password on login with email. Do the same with the create account screen - first name, last name, email, password, and confirm password. </t>
  </si>
  <si>
    <t>Disable "Backup case data to Google Drive" if the orignal creator does not have a google workspace account. Show verbiage inline that explains why</t>
  </si>
  <si>
    <t xml:space="preserve">Currently if a user is added to more than one practice, they get some kind of modal asking if they want to go to that practice or start a new one. Instead, if they are assigned to only one practice they should just proceed to that practice. If they are assigned to more than one practice, they should see a modal when they log in that tells them that they are added to more than one practice and then give them a way to select the one they want. </t>
  </si>
  <si>
    <t>Update he background on the login screen</t>
  </si>
  <si>
    <t>We should't see stuff like these characters in the AI recommendations: With one case currently in the &amp;#039;Designed&amp;#039; status, implementing a formal design review process before proceeding to the next stage can help catch errors early, reducing remakes and improving the final quality of the bridge. This includes checklists and standardized criteria for design approval.</t>
  </si>
  <si>
    <t xml:space="preserve">Add more widgets to the analytics dashboard for things like average time a case sits in each state. </t>
  </si>
  <si>
    <t>Mobile</t>
  </si>
  <si>
    <t>Make login more mobile friendly</t>
  </si>
  <si>
    <t>Need reset password functionality</t>
  </si>
  <si>
    <t>In status value is N/A</t>
  </si>
  <si>
    <t>When signing in with email/password I am redirected but the login screen doesn't go away</t>
  </si>
  <si>
    <t>Fields don't line up when creating new user</t>
  </si>
  <si>
    <t xml:space="preserve">After I enter my first password, I then have to reenter it 2x? </t>
  </si>
  <si>
    <t>Need to create a landing page</t>
  </si>
  <si>
    <t>Add verification link when users create an account via email/password</t>
  </si>
  <si>
    <t>Need indicator on sign-in button when signing in with email/password</t>
  </si>
  <si>
    <t>The message is bad: Backup case data to Google Drive
This feature requires Google Drive to be connected. Go to the Google Drive section below to connect your Google Drive account.
It should say something like: In order to use this feature you must create your practice using a workspace account</t>
  </si>
  <si>
    <t>BAA</t>
  </si>
  <si>
    <t>Need better required field messaging</t>
  </si>
  <si>
    <t>When first displaying the walkthrough jumps around</t>
  </si>
  <si>
    <t>Add a "don't show this again" message and checkbox on the archive modal</t>
  </si>
  <si>
    <t>Get rid of error log messages that were used for testing</t>
  </si>
  <si>
    <t>Enhance walkthrough to show the settings modal</t>
  </si>
  <si>
    <t>Sencond Continue with Google button needs to be centered</t>
  </si>
  <si>
    <t>Signup with email is not sending the verification email in prod</t>
  </si>
  <si>
    <t>Dev tools</t>
  </si>
  <si>
    <t>Message is messed up
⚠️ PRODUCTION ENVIRONMENT
You are using dev tools in PRODUCTION. All changes will
only affect your practice
. Destructive actions require confirmation.</t>
  </si>
  <si>
    <t>Don't need clear cache or clear session or reload</t>
  </si>
  <si>
    <t>Tooltips on user header columns should not be all caps</t>
  </si>
  <si>
    <t>Filters</t>
  </si>
  <si>
    <t>Add an open to show only cases that are late</t>
  </si>
  <si>
    <t>Searching by patient first name + last name doesn't work</t>
  </si>
  <si>
    <t>Late cases only checkbox doesn't do anything</t>
  </si>
  <si>
    <t>In status value is set for Today in Dev and it shows -1 in prod</t>
  </si>
  <si>
    <t>Printing</t>
  </si>
  <si>
    <t>Printing is giving an error of "[29-Dec-2025 10:33:43 America/New_York] Google Drive: Not authenticated or token expired"</t>
  </si>
  <si>
    <t>The settings modal is telling me I have unsaved changes even if I just open and then immediately close the modal.</t>
  </si>
  <si>
    <t>When trying to add a user that has already been added to a diiferent practice, I am seeing: This user is already a member of practice 'Premier Dental Implants'</t>
  </si>
  <si>
    <t>Data View</t>
  </si>
  <si>
    <t xml:space="preserve">I am seeing data I don't think I should. </t>
  </si>
  <si>
    <t>When adding new labels, if I hit enter it should add the label and put focus back in the add lable field. Don't trigger the submit</t>
  </si>
  <si>
    <t>when I try and create a case I get errors: Failed to create case: {"success":false,"error":"Invalid action"}{"success":true,"message":"Case created successfully","caseData":{"patientFirstName":"Jason","patientLastName":"Hoch","patientDOB":"1970-04-30","dentistName":
Also, now that we have changed how labels work we need to make sure that test case creation is updated to accomodate</t>
  </si>
  <si>
    <t>Tags</t>
  </si>
  <si>
    <t>It's a little hard to remove a label from the individual cases</t>
  </si>
  <si>
    <t>Test</t>
  </si>
  <si>
    <t>Verify password reset email is received and link works</t>
  </si>
  <si>
    <t>Verify account verification email is received for new users</t>
  </si>
  <si>
    <t>Verify print functionality for case details</t>
  </si>
  <si>
    <t>Verify PDF export of case details renders correctly</t>
  </si>
  <si>
    <t>Verify drag-and-drop works on actual touch devices (not emulated)</t>
  </si>
  <si>
    <t>Verify app works offline and syncs when back online</t>
  </si>
  <si>
    <t>Verify browser back/forward navigation works correctly</t>
  </si>
  <si>
    <t>Verify deep linking to specific cases works</t>
  </si>
  <si>
    <t>Verify copy/paste functionality in form fields</t>
  </si>
  <si>
    <t>Verify right-click context menu behavior</t>
  </si>
  <si>
    <t>Verify keyboard shortcuts work (if any exist)</t>
  </si>
  <si>
    <t>Verify screen reader announces content correctly</t>
  </si>
  <si>
    <t>Verify color contrast meets WCAG AA standards</t>
  </si>
  <si>
    <t>Verify focus indicators are visible for keyboard users</t>
  </si>
  <si>
    <t>Verify application works with browser zoom (not just text scaling)</t>
  </si>
  <si>
    <t>Verify real-time updates appear when another user modifies a case</t>
  </si>
  <si>
    <t>Verify concurrent editing conflict resolution</t>
  </si>
  <si>
    <t>Verify session timeout warning appears before auto-logout</t>
  </si>
  <si>
    <t>Verify remember me functionality persists across browser restarts</t>
  </si>
  <si>
    <t>Verify SSO/OAuth login flow (Google, Microsoft) if supported</t>
  </si>
  <si>
    <t>Verify 2FA authentication flow with authenticator app</t>
  </si>
  <si>
    <t>Verify 2FA recovery codes work correctly</t>
  </si>
  <si>
    <t>Verify billing/subscription page displays correct plan info</t>
  </si>
  <si>
    <t>Verify payment processing works (Stripe integration)</t>
  </si>
  <si>
    <t>Verify invoice generation and download</t>
  </si>
  <si>
    <t>Verify plan upgrade/downgrade flow</t>
  </si>
  <si>
    <t>Verify trial expiration handling</t>
  </si>
  <si>
    <t>Verify data import from external systems</t>
  </si>
  <si>
    <t>Verify data export produces valid file format</t>
  </si>
  <si>
    <t>Verify bulk operations (select multiple cases, bulk archive)</t>
  </si>
  <si>
    <t>Verify search results pagination</t>
  </si>
  <si>
    <t>Verify browser autofill works correctly with forms</t>
  </si>
  <si>
    <t>Verify application performance under slow network (3G)</t>
  </si>
  <si>
    <t>Verify large file upload progress indicator</t>
  </si>
  <si>
    <t>Verify image compression/optimization on upload</t>
  </si>
  <si>
    <t>Verify HIPAA audit log captures all required events</t>
  </si>
  <si>
    <t>Verify user activity logging for compliance</t>
  </si>
  <si>
    <t>Verify data retention policies are enforced</t>
  </si>
  <si>
    <t>Verify account deletion removes all user data</t>
  </si>
  <si>
    <t>Verify cross-browser compatibility (Firefox, Safari, Edge)</t>
  </si>
  <si>
    <t>Verify application on actual iOS Safari</t>
  </si>
  <si>
    <t>Verify application on actual Android Chrome</t>
  </si>
  <si>
    <t>Verify help/documentation links work</t>
  </si>
  <si>
    <t>Verify support chat/contact functionality</t>
  </si>
  <si>
    <t>Verify error pages (404, 500) display correctly</t>
  </si>
  <si>
    <t>Verify maintenance mode page displays when enabled</t>
  </si>
  <si>
    <t>Verify Backup to Google Drive</t>
  </si>
  <si>
    <t>After resting my password and clicking sign in, instead of taking me to the login page I am taken to the landing page</t>
  </si>
  <si>
    <t>After logging in with jason.hochwender@gmail.com, no profile pic shws up in the upper right hand corner</t>
  </si>
  <si>
    <t>Misc</t>
  </si>
  <si>
    <t>When logged in, if I turn off wifi or otherwise lose connection I get weird errors that pop up that say things like failed to fetch</t>
  </si>
  <si>
    <t>Session</t>
  </si>
  <si>
    <t>Need to warn of session timeout</t>
  </si>
  <si>
    <t>Plans</t>
  </si>
  <si>
    <t>Need to revist trial expiration as I am not sure its working and if it is I am not sure all things are disabled (Insights) and I am not seeing any messaging</t>
  </si>
  <si>
    <t>HIPPA</t>
  </si>
  <si>
    <t>Are we capturing everything we need to capture</t>
  </si>
  <si>
    <t>HIPAA</t>
  </si>
  <si>
    <t>Do we have any data retention policies and if not do we need them</t>
  </si>
  <si>
    <t>Errors and Logging</t>
  </si>
  <si>
    <t>Can we use our 404 page for all 404 page errors</t>
  </si>
  <si>
    <t>When I move a case backward I think I should be seeing notification of that</t>
  </si>
  <si>
    <t>Backup is on, create new case with attachments, get this error: Failed to create case: Google Drive backup is enabled but Google Drive is not connected. Please connect Google Drive from Settings or disable backup.</t>
  </si>
  <si>
    <t>Attachments</t>
  </si>
  <si>
    <t>I should be able to add multiple attachments from different folders</t>
  </si>
  <si>
    <t>Should I be able to click and view an attachment from the edit case screen?</t>
  </si>
  <si>
    <t>Should each attachment be on its own page?</t>
  </si>
  <si>
    <t>When removing attachments from a case on the edit case modal, if I close the modal before saving I don't get prompted to save changes</t>
  </si>
  <si>
    <t>Need to verify concurrent handling of cases</t>
  </si>
  <si>
    <t>Retest</t>
  </si>
  <si>
    <t>Keeps the login with email section expanded and it's driving me nuts</t>
  </si>
  <si>
    <t>Lab Insights</t>
  </si>
  <si>
    <t>The tooltips in the header of lab performance are all caps and have things like started_at. Also need to verify that its calculating those correctly</t>
  </si>
  <si>
    <t>Resources</t>
  </si>
  <si>
    <t>Need to update resources page for better catorization</t>
  </si>
  <si>
    <t>Add tracking spreadsheet to resources page</t>
  </si>
  <si>
    <t>Update site for better mobile experience</t>
  </si>
  <si>
    <t>Accessability</t>
  </si>
  <si>
    <t>Make sure site is accessibile and ADA compliant</t>
  </si>
  <si>
    <t>Internationalization</t>
  </si>
  <si>
    <t>Add spanish</t>
  </si>
  <si>
    <t>Notifications</t>
  </si>
  <si>
    <t>Add notifications (email, app, text)</t>
  </si>
  <si>
    <t>Secure Chat</t>
  </si>
  <si>
    <t>Add secure chat</t>
  </si>
  <si>
    <t>Update user guide</t>
  </si>
  <si>
    <t>Translate user guide to spanish</t>
  </si>
  <si>
    <t>Insights</t>
  </si>
  <si>
    <t>Have a combined insights tab with sub tabs for practice and lab?</t>
  </si>
  <si>
    <t>Landing Page</t>
  </si>
  <si>
    <t>Swap Pricing and Resources in menu</t>
  </si>
  <si>
    <t>Add HIPAA info</t>
  </si>
  <si>
    <t>Make copy more compelling</t>
  </si>
  <si>
    <t>Add Clear button to the filters</t>
  </si>
  <si>
    <t>Add tagging and filters by 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</si>
</sst>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09]d\-mmm\-yy;@"/>
  </numFmts>
  <fonts count="13" x14ac:knownFonts="1">
    <font>
      <sz val="11"/>
      <color theme="1"/>
      <name val="Aptos Narrow"/>
      <family val="2"/>
      <scheme val="minor"/>
    </font>
    <font>
      <sz val="13"/>
      <color theme="1"/>
      <name val="Aptos Narrow"/>
      <family val="2"/>
      <charset val="162"/>
      <scheme val="minor"/>
    </font>
    <font>
      <sz val="13"/>
      <color rgb="FFFFC000"/>
      <name val="Aptos Narrow"/>
      <family val="2"/>
      <charset val="162"/>
      <scheme val="minor"/>
    </font>
    <font>
      <sz val="13"/>
      <color theme="0" tint="-4.9989318521683403E-2"/>
      <name val="Aptos Narrow"/>
      <family val="2"/>
      <charset val="162"/>
      <scheme val="minor"/>
    </font>
    <font>
      <b/>
      <sz val="16"/>
      <color theme="0"/>
      <name val="Aptos Narrow"/>
      <family val="2"/>
      <charset val="162"/>
      <scheme val="minor"/>
    </font>
    <font>
      <b/>
      <i/>
      <sz val="16"/>
      <color theme="0" tint="-4.9989318521683403E-2"/>
      <name val="Aptos Narrow"/>
      <family val="2"/>
      <charset val="162"/>
      <scheme val="minor"/>
    </font>
    <font>
      <b/>
      <sz val="16"/>
      <color theme="1"/>
      <name val="Aptos Narrow"/>
      <family val="2"/>
      <charset val="162"/>
      <scheme val="minor"/>
    </font>
    <font>
      <b/>
      <sz val="11"/>
      <color theme="0"/>
      <name val="Aptos Narrow"/>
      <family val="2"/>
      <charset val="162"/>
      <scheme val="minor"/>
    </font>
    <font>
      <sz val="11"/>
      <name val="Aptos Narrow"/>
      <family val="2"/>
      <charset val="162"/>
      <scheme val="minor"/>
    </font>
    <font>
      <b/>
      <sz val="11"/>
      <name val="Aptos Narrow"/>
      <family val="2"/>
      <charset val="162"/>
      <scheme val="minor"/>
    </font>
    <font>
      <b/>
      <sz val="10"/>
      <color theme="0"/>
      <name val="Aptos Narrow"/>
      <family val="2"/>
      <charset val="162"/>
      <scheme val="minor"/>
    </font>
    <font>
      <b/>
      <sz val="10"/>
      <name val="Aptos Narrow"/>
      <family val="2"/>
      <charset val="162"/>
      <scheme val="minor"/>
    </font>
    <font>
      <sz val="10"/>
      <name val="Aptos Narrow"/>
      <family val="2"/>
      <charset val="162"/>
      <scheme val="minor"/>
    </font>
  </fonts>
  <fills count="9">
    <fill>
      <patternFill patternType="none"/>
    </fill>
    <fill>
      <patternFill patternType="gray125"/>
    </fill>
    <fill>
      <patternFill patternType="solid">
        <fgColor theme="0" tint="-4.9989318521683403E-2"/>
        <bgColor indexed="64"/>
      </patternFill>
    </fill>
    <fill>
      <patternFill patternType="solid">
        <fgColor theme="1"/>
        <bgColor indexed="64"/>
      </patternFill>
    </fill>
    <fill>
      <patternFill patternType="solid">
        <fgColor theme="3"/>
        <bgColor indexed="64"/>
      </patternFill>
    </fill>
    <fill>
      <patternFill patternType="solid">
        <fgColor rgb="FF44546A"/>
        <bgColor indexed="64"/>
      </patternFill>
    </fill>
    <fill>
      <patternFill patternType="solid">
        <fgColor theme="2" tint="-0.749992370372631"/>
        <bgColor indexed="64"/>
      </patternFill>
    </fill>
    <fill>
      <patternFill patternType="solid">
        <fgColor theme="0"/>
        <bgColor indexed="64"/>
      </patternFill>
    </fill>
    <fill>
      <patternFill patternType="solid">
        <fgColor theme="3" tint="-0.249977111117893"/>
        <bgColor indexed="64"/>
      </patternFill>
    </fill>
  </fills>
  <borders count="8">
    <border>
      <left/>
      <right/>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style="thin">
        <color theme="0" tint="-0.24994659260841701"/>
      </bottom>
      <diagonal/>
    </border>
  </borders>
  <cellStyleXfs count="1">
    <xf numFmtId="0" fontId="0" fillId="0" borderId="0"/>
  </cellStyleXfs>
  <cellXfs count="34">
    <xf numFmtId="0" fontId="0" fillId="0" borderId="0" xfId="0"/>
    <xf numFmtId="0" fontId="0" fillId="2" borderId="0" xfId="0" applyFill="1"/>
    <xf numFmtId="0" fontId="1" fillId="3" borderId="0" xfId="0" applyFont="1" applyFill="1" applyAlignment="1">
      <alignment horizontal="center" vertical="center"/>
    </xf>
    <xf numFmtId="49" fontId="2" fillId="3" borderId="0" xfId="0" applyNumberFormat="1" applyFont="1" applyFill="1" applyAlignment="1">
      <alignment horizontal="left" vertical="center" indent="3"/>
    </xf>
    <xf numFmtId="0" fontId="3" fillId="3" borderId="0" xfId="0" applyFont="1" applyFill="1" applyAlignment="1">
      <alignment horizontal="right" vertical="center"/>
    </xf>
    <xf numFmtId="0" fontId="1" fillId="2" borderId="0" xfId="0" applyFont="1" applyFill="1"/>
    <xf numFmtId="0" fontId="4" fillId="4" borderId="0" xfId="0" applyFont="1" applyFill="1" applyAlignment="1">
      <alignment horizontal="center" vertical="center"/>
    </xf>
    <xf numFmtId="0" fontId="4" fillId="4" borderId="0" xfId="0" applyFont="1" applyFill="1" applyAlignment="1">
      <alignment horizontal="left" vertical="center" indent="3"/>
    </xf>
    <xf numFmtId="0" fontId="5" fillId="4" borderId="0" xfId="0" applyFont="1" applyFill="1" applyAlignment="1">
      <alignment horizontal="right" vertical="center"/>
    </xf>
    <xf numFmtId="0" fontId="6" fillId="2" borderId="0" xfId="0" applyFont="1" applyFill="1"/>
    <xf numFmtId="0" fontId="0" fillId="2" borderId="0" xfId="0" applyFill="1" applyAlignment="1">
      <alignment vertical="center"/>
    </xf>
    <xf numFmtId="0" fontId="7" fillId="5" borderId="1" xfId="0" applyFont="1" applyFill="1" applyBorder="1" applyAlignment="1" applyProtection="1">
      <alignment horizontal="centerContinuous" vertical="center"/>
      <protection locked="0"/>
    </xf>
    <xf numFmtId="0" fontId="7" fillId="5" borderId="2" xfId="0" applyFont="1" applyFill="1" applyBorder="1" applyAlignment="1" applyProtection="1">
      <alignment horizontal="centerContinuous" vertical="center"/>
      <protection locked="0"/>
    </xf>
    <xf numFmtId="0" fontId="0" fillId="2" borderId="3" xfId="0" applyFill="1" applyBorder="1" applyAlignment="1">
      <alignment horizontal="center" vertical="center"/>
    </xf>
    <xf numFmtId="0" fontId="7" fillId="5" borderId="4" xfId="0" applyFont="1" applyFill="1" applyBorder="1" applyAlignment="1">
      <alignment horizontal="center" vertical="center" shrinkToFit="1"/>
    </xf>
    <xf numFmtId="0" fontId="7" fillId="5" borderId="4" xfId="0" applyFont="1" applyFill="1" applyBorder="1" applyAlignment="1">
      <alignment horizontal="right" vertical="center" indent="1" shrinkToFit="1"/>
    </xf>
    <xf numFmtId="0" fontId="9" fillId="0" borderId="4" xfId="0" applyFont="1" applyBorder="1" applyAlignment="1" applyProtection="1">
      <alignment horizontal="center" vertical="center" shrinkToFit="1"/>
      <protection hidden="1"/>
    </xf>
    <xf numFmtId="164" fontId="9" fillId="0" borderId="4" xfId="0" applyNumberFormat="1" applyFont="1" applyBorder="1" applyAlignment="1" applyProtection="1">
      <alignment horizontal="center" vertical="center" shrinkToFit="1"/>
      <protection hidden="1"/>
    </xf>
    <xf numFmtId="164" fontId="8" fillId="2" borderId="5" xfId="0" applyNumberFormat="1" applyFont="1" applyFill="1" applyBorder="1" applyAlignment="1" applyProtection="1">
      <alignment horizontal="center" vertical="center" shrinkToFit="1"/>
      <protection hidden="1"/>
    </xf>
    <xf numFmtId="0" fontId="8" fillId="2" borderId="0" xfId="0" applyFont="1" applyFill="1" applyAlignment="1" applyProtection="1">
      <alignment vertical="center" shrinkToFit="1"/>
      <protection hidden="1"/>
    </xf>
    <xf numFmtId="0" fontId="10" fillId="6" borderId="0" xfId="0" applyFont="1" applyFill="1" applyAlignment="1" applyProtection="1">
      <alignment horizontal="center" vertical="center"/>
      <protection locked="0"/>
    </xf>
    <xf numFmtId="0" fontId="11" fillId="7" borderId="0" xfId="0" applyFont="1" applyFill="1" applyAlignment="1" applyProtection="1">
      <alignment horizontal="center" vertical="center" shrinkToFit="1"/>
      <protection locked="0"/>
    </xf>
    <xf numFmtId="0" fontId="12" fillId="7" borderId="0" xfId="0" applyFont="1" applyFill="1" applyAlignment="1" applyProtection="1">
      <alignment horizontal="left" vertical="center" shrinkToFit="1"/>
      <protection locked="0"/>
    </xf>
    <xf numFmtId="0" fontId="12" fillId="7" borderId="0" xfId="0" applyFont="1" applyFill="1" applyAlignment="1" applyProtection="1">
      <alignment horizontal="left" vertical="center" wrapText="1"/>
      <protection locked="0"/>
    </xf>
    <xf numFmtId="0" fontId="12" fillId="7" borderId="0" xfId="0" applyFont="1" applyFill="1" applyAlignment="1" applyProtection="1">
      <alignment horizontal="center" vertical="center" shrinkToFit="1"/>
      <protection locked="0"/>
    </xf>
    <xf numFmtId="165" fontId="12" fillId="7" borderId="0" xfId="0" applyNumberFormat="1" applyFont="1" applyFill="1" applyAlignment="1" applyProtection="1">
      <alignment horizontal="center" vertical="center" shrinkToFit="1"/>
      <protection locked="0"/>
    </xf>
    <xf numFmtId="0" fontId="0" fillId="8" borderId="0" xfId="0" applyFill="1" applyAlignment="1">
      <alignment horizontal="center"/>
    </xf>
    <xf numFmtId="0" fontId="0" fillId="0" borderId="4" xfId="0" applyBorder="1" applyAlignment="1" applyProtection="1">
      <alignment horizontal="center" vertical="center" shrinkToFit="1"/>
      <protection hidden="1"/>
    </xf>
    <xf numFmtId="0" fontId="8" fillId="0" borderId="1"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cellXfs>
  <cellStyles count="1">
    <cellStyle name="Normal" xfId="0" builtinId="0"/>
  </cellStyles>
  <dxfs count="18">
    <dxf>
      <fill>
        <patternFill>
          <bgColor rgb="FFFFC000"/>
        </patternFill>
      </fill>
    </dxf>
    <dxf>
      <fill>
        <patternFill>
          <bgColor theme="0" tint="-0.14996795556505021"/>
        </patternFill>
      </fill>
    </dxf>
    <dxf>
      <fill>
        <patternFill>
          <bgColor rgb="FF92D050"/>
        </patternFill>
      </fill>
    </dxf>
    <dxf>
      <font>
        <b val="0"/>
        <strike val="0"/>
        <outline val="0"/>
        <shadow val="0"/>
        <u val="none"/>
        <vertAlign val="baseline"/>
        <sz val="10"/>
        <color auto="1"/>
        <name val="Aptos Narrow"/>
        <family val="2"/>
        <charset val="162"/>
        <scheme val="minor"/>
      </font>
      <numFmt numFmtId="165" formatCode="[$-409]d\-mmm\-yy;@"/>
      <fill>
        <patternFill patternType="none">
          <fgColor indexed="64"/>
          <bgColor theme="0"/>
        </patternFill>
      </fill>
      <alignment horizontal="center" vertical="center" textRotation="0" wrapText="0" indent="0" justifyLastLine="0" shrinkToFit="1" readingOrder="0"/>
      <protection locked="0" hidden="0"/>
    </dxf>
    <dxf>
      <font>
        <b val="0"/>
        <strike val="0"/>
        <outline val="0"/>
        <shadow val="0"/>
        <u val="none"/>
        <vertAlign val="baseline"/>
        <sz val="10"/>
        <color auto="1"/>
        <name val="Aptos Narrow"/>
        <family val="2"/>
        <charset val="162"/>
        <scheme val="minor"/>
      </font>
      <numFmt numFmtId="165" formatCode="[$-409]d\-mmm\-yy;@"/>
      <fill>
        <patternFill patternType="none">
          <fgColor indexed="64"/>
          <bgColor theme="0"/>
        </patternFill>
      </fill>
      <alignment horizontal="center" vertical="center" textRotation="0" wrapText="0" indent="0" justifyLastLine="0" shrinkToFit="1" readingOrder="0"/>
      <protection locked="0" hidden="0"/>
    </dxf>
    <dxf>
      <font>
        <b val="0"/>
        <strike val="0"/>
        <outline val="0"/>
        <shadow val="0"/>
        <u val="none"/>
        <vertAlign val="baseline"/>
        <sz val="10"/>
        <color auto="1"/>
        <name val="Aptos Narrow"/>
        <family val="2"/>
        <charset val="162"/>
        <scheme val="minor"/>
      </font>
      <numFmt numFmtId="0" formatCode="General"/>
      <fill>
        <patternFill patternType="none">
          <fgColor indexed="64"/>
          <bgColor theme="0"/>
        </patternFill>
      </fill>
      <alignment horizontal="center" vertical="center" textRotation="0" wrapText="0" indent="0" justifyLastLine="0" shrinkToFit="1" readingOrder="0"/>
      <protection locked="0" hidden="0"/>
    </dxf>
    <dxf>
      <font>
        <b val="0"/>
        <strike val="0"/>
        <outline val="0"/>
        <shadow val="0"/>
        <u val="none"/>
        <vertAlign val="baseline"/>
        <sz val="10"/>
        <color auto="1"/>
        <name val="Aptos Narrow"/>
        <family val="2"/>
        <charset val="162"/>
        <scheme val="minor"/>
      </font>
      <numFmt numFmtId="0" formatCode="General"/>
      <fill>
        <patternFill patternType="none">
          <fgColor indexed="64"/>
          <bgColor theme="0"/>
        </patternFill>
      </fill>
      <alignment horizontal="center" vertical="center" textRotation="0" wrapText="0" indent="0" justifyLastLine="0" shrinkToFit="1" readingOrder="0"/>
      <protection locked="0" hidden="0"/>
    </dxf>
    <dxf>
      <font>
        <b val="0"/>
        <strike val="0"/>
        <outline val="0"/>
        <shadow val="0"/>
        <u val="none"/>
        <vertAlign val="baseline"/>
        <sz val="10"/>
        <color auto="1"/>
        <name val="Aptos Narrow"/>
        <family val="2"/>
        <charset val="162"/>
        <scheme val="minor"/>
      </font>
      <numFmt numFmtId="0" formatCode="General"/>
      <fill>
        <patternFill patternType="none">
          <fgColor indexed="64"/>
          <bgColor theme="0"/>
        </patternFill>
      </fill>
      <alignment horizontal="center" vertical="center" textRotation="0" wrapText="0" indent="0" justifyLastLine="0" shrinkToFit="1" readingOrder="0"/>
      <protection locked="0" hidden="0"/>
    </dxf>
    <dxf>
      <font>
        <b val="0"/>
        <strike val="0"/>
        <outline val="0"/>
        <shadow val="0"/>
        <u val="none"/>
        <vertAlign val="baseline"/>
        <sz val="10"/>
        <color auto="1"/>
        <name val="Aptos Narrow"/>
        <family val="2"/>
        <charset val="162"/>
        <scheme val="minor"/>
      </font>
      <numFmt numFmtId="0" formatCode="General"/>
      <fill>
        <patternFill patternType="none">
          <fgColor indexed="64"/>
          <bgColor theme="0"/>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10"/>
        <color auto="1"/>
        <name val="Aptos Narrow"/>
        <family val="2"/>
        <charset val="162"/>
        <scheme val="minor"/>
      </font>
      <numFmt numFmtId="0" formatCode="General"/>
      <fill>
        <patternFill patternType="none">
          <fgColor indexed="64"/>
          <bgColor theme="0"/>
        </patternFill>
      </fill>
      <alignment horizontal="left" vertical="center" textRotation="0" wrapText="1" indent="0" justifyLastLine="0" shrinkToFit="0" readingOrder="0"/>
      <protection locked="0" hidden="0"/>
    </dxf>
    <dxf>
      <font>
        <b val="0"/>
        <strike val="0"/>
        <outline val="0"/>
        <shadow val="0"/>
        <u val="none"/>
        <vertAlign val="baseline"/>
        <sz val="10"/>
        <color auto="1"/>
        <name val="Aptos Narrow"/>
        <family val="2"/>
        <charset val="162"/>
        <scheme val="minor"/>
      </font>
      <numFmt numFmtId="0" formatCode="General"/>
      <fill>
        <patternFill patternType="none">
          <fgColor indexed="64"/>
          <bgColor theme="0"/>
        </patternFill>
      </fill>
      <alignment horizontal="left" vertical="center" textRotation="0" wrapText="0" indent="0" justifyLastLine="0" shrinkToFit="1" readingOrder="0"/>
      <protection locked="0" hidden="0"/>
    </dxf>
    <dxf>
      <font>
        <b/>
        <i val="0"/>
        <strike val="0"/>
        <condense val="0"/>
        <extend val="0"/>
        <outline val="0"/>
        <shadow val="0"/>
        <u val="none"/>
        <vertAlign val="baseline"/>
        <sz val="10"/>
        <color auto="1"/>
        <name val="Aptos Narrow"/>
        <family val="2"/>
        <charset val="162"/>
        <scheme val="minor"/>
      </font>
      <numFmt numFmtId="0" formatCode="General"/>
      <fill>
        <patternFill patternType="none">
          <fgColor indexed="64"/>
          <bgColor theme="0"/>
        </patternFill>
      </fill>
      <alignment horizontal="center" vertical="center" textRotation="0" wrapText="0" indent="0" justifyLastLine="0" shrinkToFit="1" readingOrder="0"/>
      <protection locked="0" hidden="0"/>
    </dxf>
    <dxf>
      <fill>
        <patternFill patternType="solid">
          <fgColor rgb="FFFFC000"/>
          <bgColor rgb="FF000000"/>
        </patternFill>
      </fill>
    </dxf>
    <dxf>
      <font>
        <b val="0"/>
        <strike val="0"/>
        <outline val="0"/>
        <shadow val="0"/>
        <u val="none"/>
        <vertAlign val="baseline"/>
        <sz val="10"/>
        <color auto="1"/>
        <name val="Aptos Narrow"/>
        <family val="2"/>
        <charset val="162"/>
        <scheme val="minor"/>
      </font>
      <numFmt numFmtId="0" formatCode="General"/>
      <fill>
        <patternFill patternType="none">
          <fgColor indexed="64"/>
          <bgColor theme="0"/>
        </patternFill>
      </fill>
      <alignment horizontal="center" vertical="center" textRotation="0" wrapText="0" indent="0" justifyLastLine="0" shrinkToFit="1" readingOrder="0"/>
    </dxf>
    <dxf>
      <font>
        <b/>
        <i val="0"/>
        <strike val="0"/>
        <condense val="0"/>
        <extend val="0"/>
        <outline val="0"/>
        <shadow val="0"/>
        <u val="none"/>
        <vertAlign val="baseline"/>
        <sz val="10"/>
        <color theme="0"/>
        <name val="Aptos Narrow"/>
        <family val="2"/>
        <charset val="162"/>
        <scheme val="minor"/>
      </font>
      <fill>
        <patternFill patternType="solid">
          <fgColor indexed="64"/>
          <bgColor theme="2" tint="-0.749992370372631"/>
        </patternFill>
      </fill>
      <alignment horizontal="center" vertical="center" textRotation="0" wrapText="0" indent="0" justifyLastLine="0" shrinkToFit="0" readingOrder="0"/>
      <border diagonalUp="0" diagonalDown="0" outline="0">
        <left style="thin">
          <color theme="0" tint="-0.24994659260841701"/>
        </left>
        <right style="thin">
          <color theme="0" tint="-0.24994659260841701"/>
        </right>
        <top/>
        <bottom/>
      </border>
      <protection locked="0" hidden="0"/>
    </dxf>
    <dxf>
      <fill>
        <patternFill>
          <bgColor theme="0" tint="-4.9989318521683403E-2"/>
        </patternFill>
      </fill>
    </dxf>
    <dxf>
      <fill>
        <patternFill patternType="none">
          <bgColor auto="1"/>
        </patternFill>
      </fill>
    </dxf>
    <dxf>
      <fill>
        <patternFill patternType="none">
          <bgColor auto="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1" defaultTableStyle="TableStyleMedium2" defaultPivotStyle="PivotStyleLight16">
    <tableStyle name="Table Style 1" pivot="0" count="3" xr9:uid="{9287C67C-ECEA-45B3-8051-FC9FD9595AF7}">
      <tableStyleElement type="wholeTable"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1</xdr:row>
      <xdr:rowOff>76200</xdr:rowOff>
    </xdr:from>
    <xdr:to>
      <xdr:col>2</xdr:col>
      <xdr:colOff>76200</xdr:colOff>
      <xdr:row>2</xdr:row>
      <xdr:rowOff>234214</xdr:rowOff>
    </xdr:to>
    <xdr:pic>
      <xdr:nvPicPr>
        <xdr:cNvPr id="2" name="mainicon" descr="issue track.png">
          <a:extLst>
            <a:ext uri="{FF2B5EF4-FFF2-40B4-BE49-F238E27FC236}">
              <a16:creationId xmlns:a16="http://schemas.microsoft.com/office/drawing/2014/main" id="{97C05BEF-5574-4A69-AF7D-48694F945D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161925"/>
          <a:ext cx="390525" cy="3770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xdr:colOff>
      <xdr:row>247</xdr:row>
      <xdr:rowOff>0</xdr:rowOff>
    </xdr:from>
    <xdr:to>
      <xdr:col>1</xdr:col>
      <xdr:colOff>221984</xdr:colOff>
      <xdr:row>249</xdr:row>
      <xdr:rowOff>293</xdr:rowOff>
    </xdr:to>
    <xdr:sp macro="" textlink="">
      <xdr:nvSpPr>
        <xdr:cNvPr id="3" name="termsbox">
          <a:extLst>
            <a:ext uri="{FF2B5EF4-FFF2-40B4-BE49-F238E27FC236}">
              <a16:creationId xmlns:a16="http://schemas.microsoft.com/office/drawing/2014/main" id="{74459E0B-422D-4A87-B319-4ECA8C990F4B}"/>
            </a:ext>
          </a:extLst>
        </xdr:cNvPr>
        <xdr:cNvSpPr/>
      </xdr:nvSpPr>
      <xdr:spPr>
        <a:xfrm>
          <a:off x="251460" y="52225575"/>
          <a:ext cx="218174" cy="2812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08000" tIns="54000" rIns="108000" bIns="54000" rtlCol="0" anchor="t">
          <a:spAutoFit/>
        </a:bodyPr>
        <a:lstStyle/>
        <a:p>
          <a:pPr algn="l"/>
          <a:endParaRPr lang="tr-TR" sz="1100" i="1" u="sng">
            <a:solidFill>
              <a:schemeClr val="bg1">
                <a:lumMod val="95000"/>
              </a:schemeClr>
            </a:solidFill>
          </a:endParaRPr>
        </a:p>
      </xdr:txBody>
    </xdr:sp>
    <xdr:clientData fPrintsWithSheet="0"/>
  </xdr:twoCellAnchor>
  <xdr:twoCellAnchor editAs="oneCell">
    <xdr:from>
      <xdr:col>9</xdr:col>
      <xdr:colOff>810526</xdr:colOff>
      <xdr:row>247</xdr:row>
      <xdr:rowOff>0</xdr:rowOff>
    </xdr:from>
    <xdr:to>
      <xdr:col>10</xdr:col>
      <xdr:colOff>47625</xdr:colOff>
      <xdr:row>249</xdr:row>
      <xdr:rowOff>293</xdr:rowOff>
    </xdr:to>
    <xdr:sp macro="" textlink="">
      <xdr:nvSpPr>
        <xdr:cNvPr id="4" name="contactinfobox">
          <a:extLst>
            <a:ext uri="{FF2B5EF4-FFF2-40B4-BE49-F238E27FC236}">
              <a16:creationId xmlns:a16="http://schemas.microsoft.com/office/drawing/2014/main" id="{B3BF6571-8E4B-4E54-8A27-44CF079A1694}"/>
            </a:ext>
          </a:extLst>
        </xdr:cNvPr>
        <xdr:cNvSpPr txBox="1"/>
      </xdr:nvSpPr>
      <xdr:spPr>
        <a:xfrm>
          <a:off x="10240276" y="52225575"/>
          <a:ext cx="218174" cy="281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108000" tIns="54000" rIns="108000" bIns="54000" rtlCol="0" anchor="t">
          <a:spAutoFit/>
        </a:bodyPr>
        <a:lstStyle/>
        <a:p>
          <a:pPr algn="r"/>
          <a:endParaRPr lang="tr-TR" sz="1100" i="1">
            <a:solidFill>
              <a:schemeClr val="bg1">
                <a:lumMod val="95000"/>
              </a:schemeClr>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58E07B-F9D0-41A5-AACF-5EAC85B8FC69}" name="TblMain" displayName="TblMain" ref="B13:J247" totalsRowShown="0" headerRowDxfId="14" dataDxfId="13">
  <autoFilter ref="B13:J247" xr:uid="{7B58E07B-F9D0-41A5-AACF-5EAC85B8FC69}"/>
  <sortState xmlns:xlrd2="http://schemas.microsoft.com/office/spreadsheetml/2017/richdata2" ref="B14:J247">
    <sortCondition sortBy="cellColor" ref="H13:H247" dxfId="12"/>
  </sortState>
  <tableColumns count="9">
    <tableColumn id="1" xr3:uid="{C0EEC035-1A27-4C90-A172-7DFF5AB6F3C5}" name="#" dataDxfId="11"/>
    <tableColumn id="2" xr3:uid="{CABC7F69-5311-4199-9383-8E2C3735E509}" name="ISSUE" dataDxfId="10"/>
    <tableColumn id="4" xr3:uid="{6668E032-1895-4222-969B-7146FCA03F81}" name="DESCRIPTION" dataDxfId="9"/>
    <tableColumn id="5" xr3:uid="{393780AC-67D6-42F6-8249-8924FB9342DC}" name="PRIORITY" dataDxfId="8"/>
    <tableColumn id="6" xr3:uid="{A5E66358-FEA1-4BCC-9899-00325DFBD8D8}" name="DEPARTMENT" dataDxfId="7"/>
    <tableColumn id="7" xr3:uid="{E4346B87-DD68-4C69-871D-5F271B4A7AFF}" name="INITIATOR" dataDxfId="6"/>
    <tableColumn id="8" xr3:uid="{E2C1F364-38D8-4098-92EB-5938C5417D7A}" name="STATUS" dataDxfId="5"/>
    <tableColumn id="9" xr3:uid="{D4F26330-CA7E-44AB-A17C-68FA53720DD9}" name="OPENED ON" dataDxfId="4"/>
    <tableColumn id="10" xr3:uid="{D3740E9D-E72E-4928-B430-F83B6FC283A9}" name="CLOSED ON" dataDxfId="3"/>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26C97-F3BD-4E1C-9F7B-05E25B173533}">
  <dimension ref="B2:J248"/>
  <sheetViews>
    <sheetView tabSelected="1" topLeftCell="A191" workbookViewId="0">
      <selection activeCell="I210" sqref="I210"/>
    </sheetView>
  </sheetViews>
  <sheetFormatPr defaultColWidth="9.140625" defaultRowHeight="15" x14ac:dyDescent="0.25"/>
  <cols>
    <col min="1" max="1" width="3.7109375" style="1" customWidth="1"/>
    <col min="2" max="2" width="6.42578125" style="1" bestFit="1" customWidth="1"/>
    <col min="3" max="3" width="21.7109375" style="1" bestFit="1" customWidth="1"/>
    <col min="4" max="4" width="54.28515625" style="1" customWidth="1"/>
    <col min="5" max="5" width="12.85546875" style="1" bestFit="1" customWidth="1"/>
    <col min="6" max="6" width="16" style="1" bestFit="1" customWidth="1"/>
    <col min="7" max="7" width="13.42578125" style="1" bestFit="1" customWidth="1"/>
    <col min="8" max="8" width="11.42578125" style="1" bestFit="1" customWidth="1"/>
    <col min="9" max="9" width="14.85546875" style="1" bestFit="1" customWidth="1"/>
    <col min="10" max="10" width="14.7109375" style="1" customWidth="1"/>
    <col min="11" max="16384" width="9.140625" style="1"/>
  </cols>
  <sheetData>
    <row r="2" spans="2:10" s="5" customFormat="1" ht="17.25" x14ac:dyDescent="0.3">
      <c r="B2" s="2"/>
      <c r="C2" s="3" t="s">
        <v>0</v>
      </c>
      <c r="D2" s="2"/>
      <c r="E2" s="2"/>
      <c r="F2" s="2"/>
      <c r="G2" s="2"/>
      <c r="H2" s="2"/>
      <c r="I2" s="4"/>
      <c r="J2" s="2"/>
    </row>
    <row r="3" spans="2:10" s="9" customFormat="1" ht="21" x14ac:dyDescent="0.35">
      <c r="B3" s="6"/>
      <c r="C3" s="7" t="s">
        <v>1</v>
      </c>
      <c r="D3" s="6"/>
      <c r="E3" s="6"/>
      <c r="F3" s="6"/>
      <c r="G3" s="6"/>
      <c r="H3" s="6"/>
      <c r="I3" s="8"/>
      <c r="J3" s="6"/>
    </row>
    <row r="4" spans="2:10" x14ac:dyDescent="0.25">
      <c r="B4" s="10"/>
      <c r="C4" s="10"/>
      <c r="D4" s="10"/>
      <c r="E4" s="10"/>
      <c r="F4" s="10"/>
      <c r="G4" s="10"/>
      <c r="H4" s="10"/>
      <c r="I4" s="10"/>
      <c r="J4" s="10"/>
    </row>
    <row r="5" spans="2:10" x14ac:dyDescent="0.25">
      <c r="B5" s="11" t="s">
        <v>2</v>
      </c>
      <c r="C5" s="12"/>
      <c r="D5" s="10"/>
      <c r="E5" s="13"/>
      <c r="F5" s="14" t="s">
        <v>3</v>
      </c>
      <c r="G5" s="14" t="s">
        <v>4</v>
      </c>
      <c r="H5" s="14" t="s">
        <v>5</v>
      </c>
      <c r="I5" s="14" t="s">
        <v>6</v>
      </c>
      <c r="J5" s="14" t="s">
        <v>7</v>
      </c>
    </row>
    <row r="6" spans="2:10" x14ac:dyDescent="0.25">
      <c r="B6" s="28" t="s">
        <v>8</v>
      </c>
      <c r="C6" s="29"/>
      <c r="D6" s="10"/>
      <c r="E6" s="15" t="s">
        <v>9</v>
      </c>
      <c r="F6" s="27">
        <f t="shared" ref="F6:H9" si="0">IFERROR(COUNTIFS($E$14:$E$247,F$5,$H$14:$H$247,$E6),"")</f>
        <v>52</v>
      </c>
      <c r="G6" s="27">
        <f t="shared" si="0"/>
        <v>92</v>
      </c>
      <c r="H6" s="27">
        <f t="shared" si="0"/>
        <v>35</v>
      </c>
      <c r="I6" s="16">
        <f>IFERROR(SUM(F6:H6),"-")</f>
        <v>179</v>
      </c>
      <c r="J6" s="17">
        <f>IFERROR(I6/$I$10,"-")</f>
        <v>0.91326530612244894</v>
      </c>
    </row>
    <row r="7" spans="2:10" x14ac:dyDescent="0.25">
      <c r="B7" s="11" t="s">
        <v>10</v>
      </c>
      <c r="C7" s="12"/>
      <c r="D7" s="10"/>
      <c r="E7" s="15" t="s">
        <v>11</v>
      </c>
      <c r="F7" s="27">
        <f t="shared" si="0"/>
        <v>3</v>
      </c>
      <c r="G7" s="27">
        <f t="shared" si="0"/>
        <v>3</v>
      </c>
      <c r="H7" s="27">
        <f t="shared" si="0"/>
        <v>1</v>
      </c>
      <c r="I7" s="16">
        <f>IFERROR(SUM(F7:H7),"-")</f>
        <v>7</v>
      </c>
      <c r="J7" s="17">
        <f>IFERROR(I7/$I$10,"-")</f>
        <v>3.5714285714285712E-2</v>
      </c>
    </row>
    <row r="8" spans="2:10" x14ac:dyDescent="0.25">
      <c r="B8" s="32"/>
      <c r="C8" s="30"/>
      <c r="D8" s="10"/>
      <c r="E8" s="15" t="s">
        <v>12</v>
      </c>
      <c r="F8" s="27">
        <f t="shared" si="0"/>
        <v>0</v>
      </c>
      <c r="G8" s="27">
        <f t="shared" si="0"/>
        <v>7</v>
      </c>
      <c r="H8" s="27">
        <f t="shared" si="0"/>
        <v>2</v>
      </c>
      <c r="I8" s="16">
        <f>IFERROR(SUM(F8:H8),"-")</f>
        <v>9</v>
      </c>
      <c r="J8" s="17">
        <f>IFERROR(I8/$I$10,"-")</f>
        <v>4.5918367346938778E-2</v>
      </c>
    </row>
    <row r="9" spans="2:10" x14ac:dyDescent="0.25">
      <c r="B9" s="33"/>
      <c r="C9" s="31"/>
      <c r="D9" s="10"/>
      <c r="E9" s="15" t="s">
        <v>282</v>
      </c>
      <c r="F9" s="27">
        <f t="shared" si="0"/>
        <v>0</v>
      </c>
      <c r="G9" s="27">
        <f t="shared" si="0"/>
        <v>1</v>
      </c>
      <c r="H9" s="27">
        <f t="shared" si="0"/>
        <v>0</v>
      </c>
      <c r="I9" s="16">
        <f>IFERROR(SUM(F9:H9),"-")</f>
        <v>1</v>
      </c>
      <c r="J9" s="17">
        <f>IFERROR(I9/$I$10,"-")</f>
        <v>5.1020408163265302E-3</v>
      </c>
    </row>
    <row r="10" spans="2:10" x14ac:dyDescent="0.25">
      <c r="B10" s="11" t="s">
        <v>13</v>
      </c>
      <c r="C10" s="12"/>
      <c r="D10" s="10"/>
      <c r="E10" s="15" t="s">
        <v>6</v>
      </c>
      <c r="F10" s="16">
        <f>IFERROR(SUM(F6:F9),"-")</f>
        <v>55</v>
      </c>
      <c r="G10" s="16">
        <f>IFERROR(SUM(G6:G9),"-")</f>
        <v>103</v>
      </c>
      <c r="H10" s="16">
        <f>IFERROR(SUM(H6:H9),"-")</f>
        <v>38</v>
      </c>
      <c r="I10" s="16">
        <f>IFERROR(SUM(F10:H10),"-")</f>
        <v>196</v>
      </c>
      <c r="J10" s="18"/>
    </row>
    <row r="11" spans="2:10" x14ac:dyDescent="0.25">
      <c r="B11" s="28" t="s">
        <v>14</v>
      </c>
      <c r="C11" s="29"/>
      <c r="D11" s="10"/>
      <c r="E11" s="15" t="s">
        <v>7</v>
      </c>
      <c r="F11" s="17">
        <f>IFERROR(F10/$I$10,"-")</f>
        <v>0.28061224489795916</v>
      </c>
      <c r="G11" s="17">
        <f t="shared" ref="G11:H11" si="1">IFERROR(G10/$I$10,"-")</f>
        <v>0.52551020408163263</v>
      </c>
      <c r="H11" s="17">
        <f t="shared" si="1"/>
        <v>0.19387755102040816</v>
      </c>
      <c r="I11" s="18"/>
      <c r="J11" s="19"/>
    </row>
    <row r="12" spans="2:10" x14ac:dyDescent="0.25">
      <c r="B12" s="10"/>
      <c r="C12" s="10"/>
      <c r="D12" s="10"/>
      <c r="E12" s="10"/>
      <c r="F12" s="10"/>
      <c r="G12" s="10"/>
      <c r="H12" s="10"/>
      <c r="I12" s="10"/>
      <c r="J12" s="10"/>
    </row>
    <row r="13" spans="2:10" x14ac:dyDescent="0.25">
      <c r="B13" s="20" t="s">
        <v>15</v>
      </c>
      <c r="C13" s="20" t="s">
        <v>16</v>
      </c>
      <c r="D13" s="20" t="s">
        <v>17</v>
      </c>
      <c r="E13" s="20" t="s">
        <v>18</v>
      </c>
      <c r="F13" s="20" t="s">
        <v>19</v>
      </c>
      <c r="G13" s="20" t="s">
        <v>20</v>
      </c>
      <c r="H13" s="20" t="s">
        <v>21</v>
      </c>
      <c r="I13" s="20" t="s">
        <v>22</v>
      </c>
      <c r="J13" s="20" t="s">
        <v>23</v>
      </c>
    </row>
    <row r="14" spans="2:10" x14ac:dyDescent="0.25">
      <c r="B14" s="21">
        <v>169</v>
      </c>
      <c r="C14" s="22" t="s">
        <v>212</v>
      </c>
      <c r="D14" s="23" t="s">
        <v>252</v>
      </c>
      <c r="E14" s="24" t="s">
        <v>4</v>
      </c>
      <c r="F14" s="24"/>
      <c r="G14" s="24"/>
      <c r="H14" s="24" t="s">
        <v>282</v>
      </c>
      <c r="I14" s="25"/>
      <c r="J14" s="25"/>
    </row>
    <row r="15" spans="2:10" x14ac:dyDescent="0.25">
      <c r="B15" s="21">
        <v>180</v>
      </c>
      <c r="C15" s="22" t="s">
        <v>125</v>
      </c>
      <c r="D15" s="23" t="s">
        <v>283</v>
      </c>
      <c r="E15" s="24" t="s">
        <v>5</v>
      </c>
      <c r="F15" s="24"/>
      <c r="G15" s="24"/>
      <c r="H15" s="24" t="s">
        <v>9</v>
      </c>
      <c r="I15" s="25"/>
      <c r="J15" s="25"/>
    </row>
    <row r="16" spans="2:10" x14ac:dyDescent="0.25">
      <c r="B16" s="21">
        <v>148</v>
      </c>
      <c r="C16" s="22" t="s">
        <v>212</v>
      </c>
      <c r="D16" s="23" t="s">
        <v>231</v>
      </c>
      <c r="E16" s="24" t="s">
        <v>4</v>
      </c>
      <c r="F16" s="24"/>
      <c r="G16" s="24"/>
      <c r="H16" s="24" t="s">
        <v>9</v>
      </c>
      <c r="I16" s="25"/>
      <c r="J16" s="25"/>
    </row>
    <row r="17" spans="2:10" ht="27" x14ac:dyDescent="0.25">
      <c r="B17" s="21">
        <v>177</v>
      </c>
      <c r="C17" s="22" t="s">
        <v>125</v>
      </c>
      <c r="D17" s="23" t="s">
        <v>260</v>
      </c>
      <c r="E17" s="24" t="s">
        <v>5</v>
      </c>
      <c r="F17" s="24"/>
      <c r="G17" s="24"/>
      <c r="H17" s="24" t="s">
        <v>9</v>
      </c>
      <c r="I17" s="25"/>
      <c r="J17" s="25"/>
    </row>
    <row r="18" spans="2:10" ht="27" x14ac:dyDescent="0.25">
      <c r="B18" s="21">
        <v>178</v>
      </c>
      <c r="C18" s="22" t="s">
        <v>125</v>
      </c>
      <c r="D18" s="23" t="s">
        <v>261</v>
      </c>
      <c r="E18" s="24" t="s">
        <v>5</v>
      </c>
      <c r="F18" s="24"/>
      <c r="G18" s="24"/>
      <c r="H18" s="24" t="s">
        <v>9</v>
      </c>
      <c r="I18" s="25"/>
      <c r="J18" s="25"/>
    </row>
    <row r="19" spans="2:10" ht="27" x14ac:dyDescent="0.25">
      <c r="B19" s="21">
        <v>179</v>
      </c>
      <c r="C19" s="22" t="s">
        <v>262</v>
      </c>
      <c r="D19" s="23" t="s">
        <v>263</v>
      </c>
      <c r="E19" s="24" t="s">
        <v>5</v>
      </c>
      <c r="F19" s="24"/>
      <c r="G19" s="24"/>
      <c r="H19" s="24" t="s">
        <v>9</v>
      </c>
      <c r="I19" s="25"/>
      <c r="J19" s="25"/>
    </row>
    <row r="20" spans="2:10" x14ac:dyDescent="0.25">
      <c r="B20" s="21">
        <v>181</v>
      </c>
      <c r="C20" s="22" t="s">
        <v>139</v>
      </c>
      <c r="D20" s="23" t="s">
        <v>281</v>
      </c>
      <c r="E20" s="24" t="s">
        <v>3</v>
      </c>
      <c r="F20" s="24"/>
      <c r="G20" s="24"/>
      <c r="H20" s="24" t="s">
        <v>9</v>
      </c>
      <c r="I20" s="25"/>
      <c r="J20" s="25"/>
    </row>
    <row r="21" spans="2:10" x14ac:dyDescent="0.25">
      <c r="B21" s="21">
        <v>182</v>
      </c>
      <c r="C21" s="22" t="s">
        <v>264</v>
      </c>
      <c r="D21" s="23" t="s">
        <v>265</v>
      </c>
      <c r="E21" s="24" t="s">
        <v>4</v>
      </c>
      <c r="F21" s="24"/>
      <c r="G21" s="24"/>
      <c r="H21" s="24" t="s">
        <v>9</v>
      </c>
      <c r="I21" s="25"/>
      <c r="J21" s="25"/>
    </row>
    <row r="22" spans="2:10" ht="40.5" x14ac:dyDescent="0.25">
      <c r="B22" s="21">
        <v>183</v>
      </c>
      <c r="C22" s="22" t="s">
        <v>266</v>
      </c>
      <c r="D22" s="23" t="s">
        <v>267</v>
      </c>
      <c r="E22" s="24" t="s">
        <v>3</v>
      </c>
      <c r="F22" s="24"/>
      <c r="G22" s="24"/>
      <c r="H22" s="24" t="s">
        <v>9</v>
      </c>
      <c r="I22" s="25"/>
      <c r="J22" s="25"/>
    </row>
    <row r="23" spans="2:10" x14ac:dyDescent="0.25">
      <c r="B23" s="21">
        <v>185</v>
      </c>
      <c r="C23" s="22" t="s">
        <v>268</v>
      </c>
      <c r="D23" s="23" t="s">
        <v>269</v>
      </c>
      <c r="E23" s="24" t="s">
        <v>3</v>
      </c>
      <c r="F23" s="24"/>
      <c r="G23" s="24"/>
      <c r="H23" s="24" t="s">
        <v>9</v>
      </c>
      <c r="I23" s="25"/>
      <c r="J23" s="25"/>
    </row>
    <row r="24" spans="2:10" x14ac:dyDescent="0.25">
      <c r="B24" s="21">
        <v>186</v>
      </c>
      <c r="C24" s="22" t="s">
        <v>270</v>
      </c>
      <c r="D24" s="23" t="s">
        <v>271</v>
      </c>
      <c r="E24" s="24" t="s">
        <v>4</v>
      </c>
      <c r="F24" s="24"/>
      <c r="G24" s="24"/>
      <c r="H24" s="24" t="s">
        <v>9</v>
      </c>
      <c r="I24" s="25"/>
      <c r="J24" s="25"/>
    </row>
    <row r="25" spans="2:10" x14ac:dyDescent="0.25">
      <c r="B25" s="21">
        <v>187</v>
      </c>
      <c r="C25" s="22" t="s">
        <v>272</v>
      </c>
      <c r="D25" s="23" t="s">
        <v>273</v>
      </c>
      <c r="E25" s="24" t="s">
        <v>3</v>
      </c>
      <c r="F25" s="24"/>
      <c r="G25" s="24"/>
      <c r="H25" s="24" t="s">
        <v>9</v>
      </c>
      <c r="I25" s="25"/>
      <c r="J25" s="25"/>
    </row>
    <row r="26" spans="2:10" ht="27" x14ac:dyDescent="0.25">
      <c r="B26" s="21">
        <v>189</v>
      </c>
      <c r="C26" s="22" t="s">
        <v>139</v>
      </c>
      <c r="D26" s="23" t="s">
        <v>274</v>
      </c>
      <c r="E26" s="24" t="s">
        <v>3</v>
      </c>
      <c r="F26" s="24"/>
      <c r="G26" s="24"/>
      <c r="H26" s="24" t="s">
        <v>9</v>
      </c>
      <c r="I26" s="25"/>
      <c r="J26" s="25"/>
    </row>
    <row r="27" spans="2:10" ht="54" x14ac:dyDescent="0.25">
      <c r="B27" s="21">
        <v>191</v>
      </c>
      <c r="C27" s="22" t="s">
        <v>162</v>
      </c>
      <c r="D27" s="23" t="s">
        <v>275</v>
      </c>
      <c r="E27" s="24" t="s">
        <v>3</v>
      </c>
      <c r="F27" s="24"/>
      <c r="G27" s="24"/>
      <c r="H27" s="24" t="s">
        <v>9</v>
      </c>
      <c r="I27" s="25"/>
      <c r="J27" s="25"/>
    </row>
    <row r="28" spans="2:10" x14ac:dyDescent="0.25">
      <c r="B28" s="21">
        <v>192</v>
      </c>
      <c r="C28" s="22" t="s">
        <v>276</v>
      </c>
      <c r="D28" s="23" t="s">
        <v>277</v>
      </c>
      <c r="E28" s="24" t="s">
        <v>4</v>
      </c>
      <c r="F28" s="24"/>
      <c r="G28" s="24"/>
      <c r="H28" s="24" t="s">
        <v>9</v>
      </c>
      <c r="I28" s="25"/>
      <c r="J28" s="25"/>
    </row>
    <row r="29" spans="2:10" ht="27" x14ac:dyDescent="0.25">
      <c r="B29" s="21">
        <v>194</v>
      </c>
      <c r="C29" s="22" t="s">
        <v>276</v>
      </c>
      <c r="D29" s="23" t="s">
        <v>278</v>
      </c>
      <c r="E29" s="24" t="s">
        <v>4</v>
      </c>
      <c r="F29" s="24"/>
      <c r="G29" s="24"/>
      <c r="H29" s="24" t="s">
        <v>9</v>
      </c>
      <c r="I29" s="25"/>
      <c r="J29" s="25"/>
    </row>
    <row r="30" spans="2:10" x14ac:dyDescent="0.25">
      <c r="B30" s="21">
        <v>195</v>
      </c>
      <c r="C30" s="22" t="s">
        <v>202</v>
      </c>
      <c r="D30" s="23" t="s">
        <v>279</v>
      </c>
      <c r="E30" s="24" t="s">
        <v>4</v>
      </c>
      <c r="F30" s="24"/>
      <c r="G30" s="24"/>
      <c r="H30" s="24" t="s">
        <v>9</v>
      </c>
      <c r="I30" s="25"/>
      <c r="J30" s="25"/>
    </row>
    <row r="31" spans="2:10" ht="27" x14ac:dyDescent="0.25">
      <c r="B31" s="21">
        <v>196</v>
      </c>
      <c r="C31" s="22" t="s">
        <v>139</v>
      </c>
      <c r="D31" s="23" t="s">
        <v>280</v>
      </c>
      <c r="E31" s="24" t="s">
        <v>4</v>
      </c>
      <c r="F31" s="24"/>
      <c r="G31" s="24"/>
      <c r="H31" s="24" t="s">
        <v>9</v>
      </c>
      <c r="I31" s="25"/>
      <c r="J31" s="25"/>
    </row>
    <row r="32" spans="2:10" x14ac:dyDescent="0.25">
      <c r="B32" s="21">
        <v>1</v>
      </c>
      <c r="C32" s="22" t="s">
        <v>24</v>
      </c>
      <c r="D32" s="23" t="s">
        <v>25</v>
      </c>
      <c r="E32" s="24" t="s">
        <v>3</v>
      </c>
      <c r="F32" s="24"/>
      <c r="G32" s="24"/>
      <c r="H32" s="24" t="s">
        <v>9</v>
      </c>
      <c r="I32" s="25"/>
      <c r="J32" s="25"/>
    </row>
    <row r="33" spans="2:10" x14ac:dyDescent="0.25">
      <c r="B33" s="21">
        <v>2</v>
      </c>
      <c r="C33" s="22" t="s">
        <v>26</v>
      </c>
      <c r="D33" s="23" t="s">
        <v>27</v>
      </c>
      <c r="E33" s="24" t="s">
        <v>5</v>
      </c>
      <c r="F33" s="24"/>
      <c r="G33" s="24"/>
      <c r="H33" s="24" t="s">
        <v>9</v>
      </c>
      <c r="I33" s="25"/>
      <c r="J33" s="25"/>
    </row>
    <row r="34" spans="2:10" x14ac:dyDescent="0.25">
      <c r="B34" s="21">
        <v>3</v>
      </c>
      <c r="C34" s="22" t="s">
        <v>28</v>
      </c>
      <c r="D34" s="23" t="s">
        <v>29</v>
      </c>
      <c r="E34" s="24" t="s">
        <v>5</v>
      </c>
      <c r="F34" s="24"/>
      <c r="G34" s="24"/>
      <c r="H34" s="24" t="s">
        <v>9</v>
      </c>
      <c r="I34" s="25"/>
      <c r="J34" s="25"/>
    </row>
    <row r="35" spans="2:10" x14ac:dyDescent="0.25">
      <c r="B35" s="21">
        <v>5</v>
      </c>
      <c r="C35" s="22" t="s">
        <v>30</v>
      </c>
      <c r="D35" s="23" t="s">
        <v>31</v>
      </c>
      <c r="E35" s="24" t="s">
        <v>4</v>
      </c>
      <c r="F35" s="24"/>
      <c r="G35" s="24"/>
      <c r="H35" s="24" t="s">
        <v>9</v>
      </c>
      <c r="I35" s="25"/>
      <c r="J35" s="25"/>
    </row>
    <row r="36" spans="2:10" x14ac:dyDescent="0.25">
      <c r="B36" s="21">
        <v>6</v>
      </c>
      <c r="C36" s="22" t="s">
        <v>32</v>
      </c>
      <c r="D36" s="23" t="s">
        <v>33</v>
      </c>
      <c r="E36" s="24" t="s">
        <v>5</v>
      </c>
      <c r="F36" s="24"/>
      <c r="G36" s="24"/>
      <c r="H36" s="24" t="s">
        <v>9</v>
      </c>
      <c r="I36" s="25"/>
      <c r="J36" s="25"/>
    </row>
    <row r="37" spans="2:10" x14ac:dyDescent="0.25">
      <c r="B37" s="21">
        <v>7</v>
      </c>
      <c r="C37" s="22" t="s">
        <v>34</v>
      </c>
      <c r="D37" s="23" t="s">
        <v>35</v>
      </c>
      <c r="E37" s="24" t="s">
        <v>4</v>
      </c>
      <c r="F37" s="24"/>
      <c r="G37" s="24"/>
      <c r="H37" s="24" t="s">
        <v>9</v>
      </c>
      <c r="I37" s="25"/>
      <c r="J37" s="25"/>
    </row>
    <row r="38" spans="2:10" x14ac:dyDescent="0.25">
      <c r="B38" s="21">
        <v>8</v>
      </c>
      <c r="C38" s="22" t="s">
        <v>36</v>
      </c>
      <c r="D38" s="23" t="s">
        <v>37</v>
      </c>
      <c r="E38" s="24" t="s">
        <v>4</v>
      </c>
      <c r="F38" s="24"/>
      <c r="G38" s="24"/>
      <c r="H38" s="24" t="s">
        <v>9</v>
      </c>
      <c r="I38" s="25"/>
      <c r="J38" s="25"/>
    </row>
    <row r="39" spans="2:10" x14ac:dyDescent="0.25">
      <c r="B39" s="21">
        <v>9</v>
      </c>
      <c r="C39" s="22" t="s">
        <v>38</v>
      </c>
      <c r="D39" s="23" t="s">
        <v>39</v>
      </c>
      <c r="E39" s="24" t="s">
        <v>5</v>
      </c>
      <c r="F39" s="24"/>
      <c r="G39" s="24"/>
      <c r="H39" s="24" t="s">
        <v>9</v>
      </c>
      <c r="I39" s="25"/>
      <c r="J39" s="25"/>
    </row>
    <row r="40" spans="2:10" x14ac:dyDescent="0.25">
      <c r="B40" s="21">
        <v>10</v>
      </c>
      <c r="C40" s="22" t="s">
        <v>40</v>
      </c>
      <c r="D40" s="23" t="s">
        <v>41</v>
      </c>
      <c r="E40" s="24" t="s">
        <v>4</v>
      </c>
      <c r="F40" s="24"/>
      <c r="G40" s="24"/>
      <c r="H40" s="24" t="s">
        <v>9</v>
      </c>
      <c r="I40" s="25"/>
      <c r="J40" s="25"/>
    </row>
    <row r="41" spans="2:10" x14ac:dyDescent="0.25">
      <c r="B41" s="21">
        <v>11</v>
      </c>
      <c r="C41" s="22" t="s">
        <v>42</v>
      </c>
      <c r="D41" s="23" t="s">
        <v>43</v>
      </c>
      <c r="E41" s="24" t="s">
        <v>4</v>
      </c>
      <c r="F41" s="24"/>
      <c r="G41" s="24"/>
      <c r="H41" s="24" t="s">
        <v>9</v>
      </c>
      <c r="I41" s="25"/>
      <c r="J41" s="25"/>
    </row>
    <row r="42" spans="2:10" x14ac:dyDescent="0.25">
      <c r="B42" s="21">
        <v>12</v>
      </c>
      <c r="C42" s="22" t="s">
        <v>44</v>
      </c>
      <c r="D42" s="23" t="s">
        <v>45</v>
      </c>
      <c r="E42" s="24" t="s">
        <v>4</v>
      </c>
      <c r="F42" s="24"/>
      <c r="G42" s="24"/>
      <c r="H42" s="24" t="s">
        <v>9</v>
      </c>
      <c r="I42" s="25"/>
      <c r="J42" s="25"/>
    </row>
    <row r="43" spans="2:10" x14ac:dyDescent="0.25">
      <c r="B43" s="21">
        <v>13</v>
      </c>
      <c r="C43" s="22" t="s">
        <v>46</v>
      </c>
      <c r="D43" s="23" t="s">
        <v>47</v>
      </c>
      <c r="E43" s="24" t="s">
        <v>5</v>
      </c>
      <c r="F43" s="24"/>
      <c r="G43" s="24"/>
      <c r="H43" s="24" t="s">
        <v>9</v>
      </c>
      <c r="I43" s="25"/>
      <c r="J43" s="25"/>
    </row>
    <row r="44" spans="2:10" x14ac:dyDescent="0.25">
      <c r="B44" s="21">
        <v>14</v>
      </c>
      <c r="C44" s="22" t="s">
        <v>48</v>
      </c>
      <c r="D44" s="23" t="s">
        <v>49</v>
      </c>
      <c r="E44" s="24" t="s">
        <v>4</v>
      </c>
      <c r="F44" s="24"/>
      <c r="G44" s="24"/>
      <c r="H44" s="24" t="s">
        <v>9</v>
      </c>
      <c r="I44" s="25"/>
      <c r="J44" s="25"/>
    </row>
    <row r="45" spans="2:10" x14ac:dyDescent="0.25">
      <c r="B45" s="21">
        <v>15</v>
      </c>
      <c r="C45" s="22" t="s">
        <v>50</v>
      </c>
      <c r="D45" s="23" t="s">
        <v>51</v>
      </c>
      <c r="E45" s="24" t="s">
        <v>4</v>
      </c>
      <c r="F45" s="24"/>
      <c r="G45" s="24"/>
      <c r="H45" s="24" t="s">
        <v>9</v>
      </c>
      <c r="I45" s="25"/>
      <c r="J45" s="25"/>
    </row>
    <row r="46" spans="2:10" x14ac:dyDescent="0.25">
      <c r="B46" s="21">
        <v>16</v>
      </c>
      <c r="C46" s="22" t="s">
        <v>52</v>
      </c>
      <c r="D46" s="23" t="s">
        <v>53</v>
      </c>
      <c r="E46" s="24" t="s">
        <v>5</v>
      </c>
      <c r="F46" s="24"/>
      <c r="G46" s="24"/>
      <c r="H46" s="24" t="s">
        <v>9</v>
      </c>
      <c r="I46" s="25"/>
      <c r="J46" s="25"/>
    </row>
    <row r="47" spans="2:10" ht="27" x14ac:dyDescent="0.25">
      <c r="B47" s="21">
        <v>17</v>
      </c>
      <c r="C47" s="22" t="s">
        <v>54</v>
      </c>
      <c r="D47" s="23" t="s">
        <v>55</v>
      </c>
      <c r="E47" s="24" t="s">
        <v>5</v>
      </c>
      <c r="F47" s="24"/>
      <c r="G47" s="24"/>
      <c r="H47" s="24" t="s">
        <v>9</v>
      </c>
      <c r="I47" s="25"/>
      <c r="J47" s="25"/>
    </row>
    <row r="48" spans="2:10" x14ac:dyDescent="0.25">
      <c r="B48" s="21">
        <v>18</v>
      </c>
      <c r="C48" s="22" t="s">
        <v>56</v>
      </c>
      <c r="D48" s="23" t="s">
        <v>57</v>
      </c>
      <c r="E48" s="24" t="s">
        <v>5</v>
      </c>
      <c r="F48" s="24"/>
      <c r="G48" s="24"/>
      <c r="H48" s="24" t="s">
        <v>9</v>
      </c>
      <c r="I48" s="25"/>
      <c r="J48" s="25"/>
    </row>
    <row r="49" spans="2:10" x14ac:dyDescent="0.25">
      <c r="B49" s="21">
        <v>19</v>
      </c>
      <c r="C49" s="22" t="s">
        <v>58</v>
      </c>
      <c r="D49" s="23" t="s">
        <v>59</v>
      </c>
      <c r="E49" s="24" t="s">
        <v>4</v>
      </c>
      <c r="F49" s="24"/>
      <c r="G49" s="24"/>
      <c r="H49" s="24" t="s">
        <v>9</v>
      </c>
      <c r="I49" s="25"/>
      <c r="J49" s="25"/>
    </row>
    <row r="50" spans="2:10" ht="27" x14ac:dyDescent="0.25">
      <c r="B50" s="21">
        <v>20</v>
      </c>
      <c r="C50" s="22" t="s">
        <v>60</v>
      </c>
      <c r="D50" s="23" t="s">
        <v>61</v>
      </c>
      <c r="E50" s="24" t="s">
        <v>4</v>
      </c>
      <c r="F50" s="24"/>
      <c r="G50" s="24"/>
      <c r="H50" s="24" t="s">
        <v>9</v>
      </c>
      <c r="I50" s="25"/>
      <c r="J50" s="25"/>
    </row>
    <row r="51" spans="2:10" x14ac:dyDescent="0.25">
      <c r="B51" s="21">
        <v>21</v>
      </c>
      <c r="C51" s="22" t="s">
        <v>62</v>
      </c>
      <c r="D51" s="23" t="s">
        <v>63</v>
      </c>
      <c r="E51" s="24" t="s">
        <v>3</v>
      </c>
      <c r="F51" s="24"/>
      <c r="G51" s="24"/>
      <c r="H51" s="24" t="s">
        <v>9</v>
      </c>
      <c r="I51" s="25"/>
      <c r="J51" s="25"/>
    </row>
    <row r="52" spans="2:10" x14ac:dyDescent="0.25">
      <c r="B52" s="21">
        <v>22</v>
      </c>
      <c r="C52" s="22" t="s">
        <v>64</v>
      </c>
      <c r="D52" s="23" t="s">
        <v>65</v>
      </c>
      <c r="E52" s="24" t="s">
        <v>3</v>
      </c>
      <c r="F52" s="24"/>
      <c r="G52" s="24"/>
      <c r="H52" s="24" t="s">
        <v>9</v>
      </c>
      <c r="I52" s="25"/>
      <c r="J52" s="25"/>
    </row>
    <row r="53" spans="2:10" x14ac:dyDescent="0.25">
      <c r="B53" s="21">
        <v>23</v>
      </c>
      <c r="C53" s="22" t="s">
        <v>66</v>
      </c>
      <c r="D53" s="23" t="s">
        <v>67</v>
      </c>
      <c r="E53" s="24" t="s">
        <v>3</v>
      </c>
      <c r="F53" s="24"/>
      <c r="G53" s="24" t="s">
        <v>68</v>
      </c>
      <c r="H53" s="24" t="s">
        <v>9</v>
      </c>
      <c r="I53" s="25"/>
      <c r="J53" s="25"/>
    </row>
    <row r="54" spans="2:10" x14ac:dyDescent="0.25">
      <c r="B54" s="21">
        <v>24</v>
      </c>
      <c r="C54" s="22" t="s">
        <v>66</v>
      </c>
      <c r="D54" s="23" t="s">
        <v>69</v>
      </c>
      <c r="E54" s="24" t="s">
        <v>4</v>
      </c>
      <c r="F54" s="24"/>
      <c r="G54" s="24"/>
      <c r="H54" s="24" t="s">
        <v>9</v>
      </c>
      <c r="I54" s="25"/>
      <c r="J54" s="25"/>
    </row>
    <row r="55" spans="2:10" x14ac:dyDescent="0.25">
      <c r="B55" s="21">
        <v>25</v>
      </c>
      <c r="C55" s="22" t="s">
        <v>71</v>
      </c>
      <c r="D55" s="23" t="s">
        <v>70</v>
      </c>
      <c r="E55" s="24" t="s">
        <v>3</v>
      </c>
      <c r="F55" s="24"/>
      <c r="G55" s="24"/>
      <c r="H55" s="24" t="s">
        <v>9</v>
      </c>
      <c r="I55" s="25"/>
      <c r="J55" s="25"/>
    </row>
    <row r="56" spans="2:10" x14ac:dyDescent="0.25">
      <c r="B56" s="21">
        <v>26</v>
      </c>
      <c r="C56" s="22" t="s">
        <v>72</v>
      </c>
      <c r="D56" s="23" t="s">
        <v>73</v>
      </c>
      <c r="E56" s="24" t="s">
        <v>5</v>
      </c>
      <c r="F56" s="24"/>
      <c r="G56" s="24"/>
      <c r="H56" s="24" t="s">
        <v>9</v>
      </c>
      <c r="I56" s="25"/>
      <c r="J56" s="25"/>
    </row>
    <row r="57" spans="2:10" x14ac:dyDescent="0.25">
      <c r="B57" s="21">
        <v>27</v>
      </c>
      <c r="C57" s="22" t="s">
        <v>74</v>
      </c>
      <c r="D57" s="23" t="s">
        <v>75</v>
      </c>
      <c r="E57" s="24" t="s">
        <v>5</v>
      </c>
      <c r="F57" s="24"/>
      <c r="G57" s="24"/>
      <c r="H57" s="24" t="s">
        <v>9</v>
      </c>
      <c r="I57" s="25"/>
      <c r="J57" s="25"/>
    </row>
    <row r="58" spans="2:10" x14ac:dyDescent="0.25">
      <c r="B58" s="21">
        <v>28</v>
      </c>
      <c r="C58" s="22" t="s">
        <v>76</v>
      </c>
      <c r="D58" s="23" t="s">
        <v>77</v>
      </c>
      <c r="E58" s="24" t="s">
        <v>4</v>
      </c>
      <c r="F58" s="24"/>
      <c r="G58" s="24"/>
      <c r="H58" s="24" t="s">
        <v>9</v>
      </c>
      <c r="I58" s="25"/>
      <c r="J58" s="25"/>
    </row>
    <row r="59" spans="2:10" x14ac:dyDescent="0.25">
      <c r="B59" s="21">
        <v>30</v>
      </c>
      <c r="C59" s="22" t="s">
        <v>78</v>
      </c>
      <c r="D59" s="23" t="s">
        <v>79</v>
      </c>
      <c r="E59" s="24" t="s">
        <v>5</v>
      </c>
      <c r="F59" s="24"/>
      <c r="G59" s="24"/>
      <c r="H59" s="24" t="s">
        <v>9</v>
      </c>
      <c r="I59" s="25"/>
      <c r="J59" s="25"/>
    </row>
    <row r="60" spans="2:10" x14ac:dyDescent="0.25">
      <c r="B60" s="21">
        <v>31</v>
      </c>
      <c r="C60" s="22" t="s">
        <v>80</v>
      </c>
      <c r="D60" s="23" t="s">
        <v>81</v>
      </c>
      <c r="E60" s="24" t="s">
        <v>3</v>
      </c>
      <c r="F60" s="24"/>
      <c r="G60" s="24"/>
      <c r="H60" s="24" t="s">
        <v>9</v>
      </c>
      <c r="I60" s="25"/>
      <c r="J60" s="25"/>
    </row>
    <row r="61" spans="2:10" x14ac:dyDescent="0.25">
      <c r="B61" s="21">
        <v>32</v>
      </c>
      <c r="C61" s="22" t="s">
        <v>82</v>
      </c>
      <c r="D61" s="23" t="s">
        <v>83</v>
      </c>
      <c r="E61" s="24" t="s">
        <v>4</v>
      </c>
      <c r="F61" s="24"/>
      <c r="G61" s="24"/>
      <c r="H61" s="24" t="s">
        <v>9</v>
      </c>
      <c r="I61" s="25"/>
      <c r="J61" s="25"/>
    </row>
    <row r="62" spans="2:10" x14ac:dyDescent="0.25">
      <c r="B62" s="21">
        <v>33</v>
      </c>
      <c r="C62" s="22" t="s">
        <v>84</v>
      </c>
      <c r="D62" s="23" t="s">
        <v>84</v>
      </c>
      <c r="E62" s="24" t="s">
        <v>4</v>
      </c>
      <c r="F62" s="24"/>
      <c r="G62" s="24"/>
      <c r="H62" s="24" t="s">
        <v>9</v>
      </c>
      <c r="I62" s="25"/>
      <c r="J62" s="25"/>
    </row>
    <row r="63" spans="2:10" x14ac:dyDescent="0.25">
      <c r="B63" s="21">
        <v>34</v>
      </c>
      <c r="C63" s="22" t="s">
        <v>85</v>
      </c>
      <c r="D63" s="23" t="s">
        <v>86</v>
      </c>
      <c r="E63" s="24" t="s">
        <v>3</v>
      </c>
      <c r="F63" s="24"/>
      <c r="G63" s="24"/>
      <c r="H63" s="24" t="s">
        <v>9</v>
      </c>
      <c r="I63" s="25"/>
      <c r="J63" s="25"/>
    </row>
    <row r="64" spans="2:10" x14ac:dyDescent="0.25">
      <c r="B64" s="21">
        <v>35</v>
      </c>
      <c r="C64" s="22" t="s">
        <v>87</v>
      </c>
      <c r="D64" s="23" t="s">
        <v>88</v>
      </c>
      <c r="E64" s="24" t="s">
        <v>5</v>
      </c>
      <c r="F64" s="24"/>
      <c r="G64" s="24"/>
      <c r="H64" s="24" t="s">
        <v>9</v>
      </c>
      <c r="I64" s="25"/>
      <c r="J64" s="25"/>
    </row>
    <row r="65" spans="2:10" x14ac:dyDescent="0.25">
      <c r="B65" s="21">
        <v>36</v>
      </c>
      <c r="C65" s="22" t="s">
        <v>89</v>
      </c>
      <c r="D65" s="23" t="s">
        <v>90</v>
      </c>
      <c r="E65" s="24" t="s">
        <v>5</v>
      </c>
      <c r="F65" s="24"/>
      <c r="G65" s="24"/>
      <c r="H65" s="24" t="s">
        <v>9</v>
      </c>
      <c r="I65" s="25"/>
      <c r="J65" s="25"/>
    </row>
    <row r="66" spans="2:10" x14ac:dyDescent="0.25">
      <c r="B66" s="21">
        <v>37</v>
      </c>
      <c r="C66" s="22" t="s">
        <v>91</v>
      </c>
      <c r="D66" s="23" t="s">
        <v>92</v>
      </c>
      <c r="E66" s="24" t="s">
        <v>4</v>
      </c>
      <c r="F66" s="24"/>
      <c r="G66" s="24"/>
      <c r="H66" s="24" t="s">
        <v>9</v>
      </c>
      <c r="I66" s="25"/>
      <c r="J66" s="25"/>
    </row>
    <row r="67" spans="2:10" x14ac:dyDescent="0.25">
      <c r="B67" s="21">
        <v>38</v>
      </c>
      <c r="C67" s="22" t="s">
        <v>93</v>
      </c>
      <c r="D67" s="23" t="s">
        <v>94</v>
      </c>
      <c r="E67" s="24" t="s">
        <v>4</v>
      </c>
      <c r="F67" s="24"/>
      <c r="G67" s="24"/>
      <c r="H67" s="24" t="s">
        <v>9</v>
      </c>
      <c r="I67" s="25"/>
      <c r="J67" s="25"/>
    </row>
    <row r="68" spans="2:10" x14ac:dyDescent="0.25">
      <c r="B68" s="21">
        <v>39</v>
      </c>
      <c r="C68" s="22" t="s">
        <v>95</v>
      </c>
      <c r="D68" s="23" t="s">
        <v>96</v>
      </c>
      <c r="E68" s="24" t="s">
        <v>4</v>
      </c>
      <c r="F68" s="24"/>
      <c r="G68" s="24"/>
      <c r="H68" s="24" t="s">
        <v>9</v>
      </c>
      <c r="I68" s="25"/>
      <c r="J68" s="25"/>
    </row>
    <row r="69" spans="2:10" x14ac:dyDescent="0.25">
      <c r="B69" s="21">
        <v>40</v>
      </c>
      <c r="C69" s="22" t="s">
        <v>95</v>
      </c>
      <c r="D69" s="23" t="s">
        <v>97</v>
      </c>
      <c r="E69" s="24" t="s">
        <v>3</v>
      </c>
      <c r="F69" s="24"/>
      <c r="G69" s="24"/>
      <c r="H69" s="24" t="s">
        <v>9</v>
      </c>
      <c r="I69" s="25"/>
      <c r="J69" s="25"/>
    </row>
    <row r="70" spans="2:10" x14ac:dyDescent="0.25">
      <c r="B70" s="21">
        <v>41</v>
      </c>
      <c r="C70" s="22" t="s">
        <v>32</v>
      </c>
      <c r="D70" s="23" t="s">
        <v>98</v>
      </c>
      <c r="E70" s="24" t="s">
        <v>4</v>
      </c>
      <c r="F70" s="24"/>
      <c r="G70" s="24"/>
      <c r="H70" s="24" t="s">
        <v>9</v>
      </c>
      <c r="I70" s="25"/>
      <c r="J70" s="25"/>
    </row>
    <row r="71" spans="2:10" ht="27" x14ac:dyDescent="0.25">
      <c r="B71" s="21">
        <v>42</v>
      </c>
      <c r="C71" s="22" t="s">
        <v>99</v>
      </c>
      <c r="D71" s="23" t="s">
        <v>100</v>
      </c>
      <c r="E71" s="24" t="s">
        <v>3</v>
      </c>
      <c r="F71" s="24"/>
      <c r="G71" s="24"/>
      <c r="H71" s="24" t="s">
        <v>9</v>
      </c>
      <c r="I71" s="25"/>
      <c r="J71" s="25"/>
    </row>
    <row r="72" spans="2:10" x14ac:dyDescent="0.25">
      <c r="B72" s="21">
        <v>43</v>
      </c>
      <c r="C72" s="22" t="s">
        <v>101</v>
      </c>
      <c r="D72" s="23" t="s">
        <v>102</v>
      </c>
      <c r="E72" s="24" t="s">
        <v>3</v>
      </c>
      <c r="F72" s="24"/>
      <c r="G72" s="24"/>
      <c r="H72" s="24" t="s">
        <v>9</v>
      </c>
      <c r="I72" s="25"/>
      <c r="J72" s="25"/>
    </row>
    <row r="73" spans="2:10" ht="27" x14ac:dyDescent="0.25">
      <c r="B73" s="21">
        <v>44</v>
      </c>
      <c r="C73" s="22" t="s">
        <v>103</v>
      </c>
      <c r="D73" s="23" t="s">
        <v>104</v>
      </c>
      <c r="E73" s="24" t="s">
        <v>5</v>
      </c>
      <c r="F73" s="24"/>
      <c r="G73" s="24"/>
      <c r="H73" s="24" t="s">
        <v>9</v>
      </c>
      <c r="I73" s="25"/>
      <c r="J73" s="25"/>
    </row>
    <row r="74" spans="2:10" x14ac:dyDescent="0.25">
      <c r="B74" s="21">
        <v>45</v>
      </c>
      <c r="C74" s="22" t="s">
        <v>105</v>
      </c>
      <c r="D74" s="23" t="s">
        <v>106</v>
      </c>
      <c r="E74" s="24" t="s">
        <v>5</v>
      </c>
      <c r="F74" s="24"/>
      <c r="G74" s="24"/>
      <c r="H74" s="24" t="s">
        <v>9</v>
      </c>
      <c r="I74" s="25"/>
      <c r="J74" s="25"/>
    </row>
    <row r="75" spans="2:10" x14ac:dyDescent="0.25">
      <c r="B75" s="21">
        <v>46</v>
      </c>
      <c r="C75" s="22" t="s">
        <v>105</v>
      </c>
      <c r="D75" s="23" t="s">
        <v>107</v>
      </c>
      <c r="E75" s="24" t="s">
        <v>5</v>
      </c>
      <c r="F75" s="24"/>
      <c r="G75" s="24"/>
      <c r="H75" s="24" t="s">
        <v>9</v>
      </c>
      <c r="I75" s="25"/>
      <c r="J75" s="25"/>
    </row>
    <row r="76" spans="2:10" x14ac:dyDescent="0.25">
      <c r="B76" s="21">
        <v>47</v>
      </c>
      <c r="C76" s="22" t="s">
        <v>108</v>
      </c>
      <c r="D76" s="23" t="s">
        <v>109</v>
      </c>
      <c r="E76" s="24" t="s">
        <v>4</v>
      </c>
      <c r="F76" s="24"/>
      <c r="G76" s="24"/>
      <c r="H76" s="24" t="s">
        <v>9</v>
      </c>
      <c r="I76" s="25"/>
      <c r="J76" s="25"/>
    </row>
    <row r="77" spans="2:10" x14ac:dyDescent="0.25">
      <c r="B77" s="21">
        <v>48</v>
      </c>
      <c r="C77" s="22" t="s">
        <v>110</v>
      </c>
      <c r="D77" s="23" t="s">
        <v>111</v>
      </c>
      <c r="E77" s="24" t="s">
        <v>5</v>
      </c>
      <c r="F77" s="24"/>
      <c r="G77" s="24"/>
      <c r="H77" s="24" t="s">
        <v>9</v>
      </c>
      <c r="I77" s="25"/>
      <c r="J77" s="25"/>
    </row>
    <row r="78" spans="2:10" x14ac:dyDescent="0.25">
      <c r="B78" s="21">
        <v>50</v>
      </c>
      <c r="C78" s="22" t="s">
        <v>112</v>
      </c>
      <c r="D78" s="23" t="s">
        <v>113</v>
      </c>
      <c r="E78" s="24" t="s">
        <v>3</v>
      </c>
      <c r="F78" s="24"/>
      <c r="G78" s="24"/>
      <c r="H78" s="24" t="s">
        <v>9</v>
      </c>
      <c r="I78" s="25"/>
      <c r="J78" s="25"/>
    </row>
    <row r="79" spans="2:10" x14ac:dyDescent="0.25">
      <c r="B79" s="21">
        <v>51</v>
      </c>
      <c r="C79" s="22" t="s">
        <v>114</v>
      </c>
      <c r="D79" s="23" t="s">
        <v>115</v>
      </c>
      <c r="E79" s="24" t="s">
        <v>5</v>
      </c>
      <c r="F79" s="24"/>
      <c r="G79" s="24"/>
      <c r="H79" s="24" t="s">
        <v>9</v>
      </c>
      <c r="I79" s="25"/>
      <c r="J79" s="25"/>
    </row>
    <row r="80" spans="2:10" x14ac:dyDescent="0.25">
      <c r="B80" s="21">
        <v>52</v>
      </c>
      <c r="C80" s="22" t="s">
        <v>116</v>
      </c>
      <c r="D80" s="23" t="s">
        <v>117</v>
      </c>
      <c r="E80" s="24" t="s">
        <v>3</v>
      </c>
      <c r="F80" s="24"/>
      <c r="G80" s="24"/>
      <c r="H80" s="24" t="s">
        <v>9</v>
      </c>
      <c r="I80" s="25"/>
      <c r="J80" s="25"/>
    </row>
    <row r="81" spans="2:10" x14ac:dyDescent="0.25">
      <c r="B81" s="21">
        <v>53</v>
      </c>
      <c r="C81" s="22" t="s">
        <v>116</v>
      </c>
      <c r="D81" s="23" t="s">
        <v>118</v>
      </c>
      <c r="E81" s="24" t="s">
        <v>4</v>
      </c>
      <c r="F81" s="24"/>
      <c r="G81" s="24"/>
      <c r="H81" s="24" t="s">
        <v>9</v>
      </c>
      <c r="I81" s="25"/>
      <c r="J81" s="25"/>
    </row>
    <row r="82" spans="2:10" x14ac:dyDescent="0.25">
      <c r="B82" s="21">
        <v>54</v>
      </c>
      <c r="C82" s="22" t="s">
        <v>116</v>
      </c>
      <c r="D82" s="23" t="s">
        <v>119</v>
      </c>
      <c r="E82" s="24" t="s">
        <v>5</v>
      </c>
      <c r="F82" s="24"/>
      <c r="G82" s="24"/>
      <c r="H82" s="24" t="s">
        <v>9</v>
      </c>
      <c r="I82" s="25"/>
      <c r="J82" s="25"/>
    </row>
    <row r="83" spans="2:10" ht="40.5" x14ac:dyDescent="0.25">
      <c r="B83" s="21">
        <v>55</v>
      </c>
      <c r="C83" s="22" t="s">
        <v>120</v>
      </c>
      <c r="D83" s="23" t="s">
        <v>121</v>
      </c>
      <c r="E83" s="24" t="s">
        <v>4</v>
      </c>
      <c r="F83" s="24"/>
      <c r="G83" s="24"/>
      <c r="H83" s="24" t="s">
        <v>9</v>
      </c>
      <c r="I83" s="25"/>
      <c r="J83" s="25"/>
    </row>
    <row r="84" spans="2:10" x14ac:dyDescent="0.25">
      <c r="B84" s="21">
        <v>56</v>
      </c>
      <c r="C84" s="22" t="s">
        <v>34</v>
      </c>
      <c r="D84" s="23" t="s">
        <v>122</v>
      </c>
      <c r="E84" s="24" t="s">
        <v>3</v>
      </c>
      <c r="F84" s="24"/>
      <c r="G84" s="24"/>
      <c r="H84" s="24" t="s">
        <v>9</v>
      </c>
      <c r="I84" s="25"/>
      <c r="J84" s="25"/>
    </row>
    <row r="85" spans="2:10" x14ac:dyDescent="0.25">
      <c r="B85" s="21">
        <v>57</v>
      </c>
      <c r="C85" s="22" t="s">
        <v>34</v>
      </c>
      <c r="D85" s="23" t="s">
        <v>123</v>
      </c>
      <c r="E85" s="24" t="s">
        <v>3</v>
      </c>
      <c r="F85" s="24"/>
      <c r="G85" s="24"/>
      <c r="H85" s="24" t="s">
        <v>9</v>
      </c>
      <c r="I85" s="25"/>
      <c r="J85" s="25"/>
    </row>
    <row r="86" spans="2:10" x14ac:dyDescent="0.25">
      <c r="B86" s="21">
        <v>58</v>
      </c>
      <c r="C86" s="22" t="s">
        <v>34</v>
      </c>
      <c r="D86" s="23" t="s">
        <v>124</v>
      </c>
      <c r="E86" s="24" t="s">
        <v>3</v>
      </c>
      <c r="F86" s="24"/>
      <c r="G86" s="24"/>
      <c r="H86" s="24" t="s">
        <v>9</v>
      </c>
      <c r="I86" s="25"/>
      <c r="J86" s="25"/>
    </row>
    <row r="87" spans="2:10" x14ac:dyDescent="0.25">
      <c r="B87" s="21">
        <v>59</v>
      </c>
      <c r="C87" s="22" t="s">
        <v>125</v>
      </c>
      <c r="D87" s="23" t="s">
        <v>181</v>
      </c>
      <c r="E87" s="24" t="s">
        <v>3</v>
      </c>
      <c r="F87" s="24"/>
      <c r="G87" s="24"/>
      <c r="H87" s="24" t="s">
        <v>9</v>
      </c>
      <c r="I87" s="25"/>
      <c r="J87" s="25"/>
    </row>
    <row r="88" spans="2:10" x14ac:dyDescent="0.25">
      <c r="B88" s="21">
        <v>60</v>
      </c>
      <c r="C88" s="22" t="s">
        <v>126</v>
      </c>
      <c r="D88" s="23" t="s">
        <v>127</v>
      </c>
      <c r="E88" s="24" t="s">
        <v>5</v>
      </c>
      <c r="F88" s="24"/>
      <c r="G88" s="24"/>
      <c r="H88" s="24" t="s">
        <v>9</v>
      </c>
      <c r="I88" s="25"/>
      <c r="J88" s="25"/>
    </row>
    <row r="89" spans="2:10" x14ac:dyDescent="0.25">
      <c r="B89" s="21">
        <v>62</v>
      </c>
      <c r="C89" s="22" t="s">
        <v>125</v>
      </c>
      <c r="D89" s="23" t="s">
        <v>128</v>
      </c>
      <c r="E89" s="24" t="s">
        <v>3</v>
      </c>
      <c r="F89" s="24"/>
      <c r="G89" s="24"/>
      <c r="H89" s="24" t="s">
        <v>9</v>
      </c>
      <c r="I89" s="25"/>
      <c r="J89" s="25"/>
    </row>
    <row r="90" spans="2:10" x14ac:dyDescent="0.25">
      <c r="B90" s="21">
        <v>63</v>
      </c>
      <c r="C90" s="22" t="s">
        <v>125</v>
      </c>
      <c r="D90" s="23" t="s">
        <v>129</v>
      </c>
      <c r="E90" s="24" t="s">
        <v>3</v>
      </c>
      <c r="F90" s="24"/>
      <c r="G90" s="24"/>
      <c r="H90" s="24" t="s">
        <v>9</v>
      </c>
      <c r="I90" s="25"/>
      <c r="J90" s="25"/>
    </row>
    <row r="91" spans="2:10" x14ac:dyDescent="0.25">
      <c r="B91" s="21">
        <v>64</v>
      </c>
      <c r="C91" s="22" t="s">
        <v>130</v>
      </c>
      <c r="D91" s="23" t="s">
        <v>131</v>
      </c>
      <c r="E91" s="24" t="s">
        <v>3</v>
      </c>
      <c r="F91" s="24"/>
      <c r="G91" s="24"/>
      <c r="H91" s="24" t="s">
        <v>9</v>
      </c>
      <c r="I91" s="25"/>
      <c r="J91" s="25"/>
    </row>
    <row r="92" spans="2:10" ht="94.5" x14ac:dyDescent="0.25">
      <c r="B92" s="21">
        <v>65</v>
      </c>
      <c r="C92" s="22" t="s">
        <v>132</v>
      </c>
      <c r="D92" s="23" t="s">
        <v>170</v>
      </c>
      <c r="E92" s="24" t="s">
        <v>4</v>
      </c>
      <c r="F92" s="24"/>
      <c r="G92" s="24"/>
      <c r="H92" s="24" t="s">
        <v>9</v>
      </c>
      <c r="I92" s="25"/>
      <c r="J92" s="25"/>
    </row>
    <row r="93" spans="2:10" ht="27" x14ac:dyDescent="0.25">
      <c r="B93" s="21">
        <v>66</v>
      </c>
      <c r="C93" s="22" t="s">
        <v>133</v>
      </c>
      <c r="D93" s="23" t="s">
        <v>134</v>
      </c>
      <c r="E93" s="24" t="s">
        <v>3</v>
      </c>
      <c r="F93" s="24"/>
      <c r="G93" s="24"/>
      <c r="H93" s="24" t="s">
        <v>9</v>
      </c>
      <c r="I93" s="25"/>
      <c r="J93" s="25"/>
    </row>
    <row r="94" spans="2:10" x14ac:dyDescent="0.25">
      <c r="B94" s="21">
        <v>67</v>
      </c>
      <c r="C94" s="22" t="s">
        <v>135</v>
      </c>
      <c r="D94" s="23" t="s">
        <v>136</v>
      </c>
      <c r="E94" s="24" t="s">
        <v>4</v>
      </c>
      <c r="F94" s="24"/>
      <c r="G94" s="24"/>
      <c r="H94" s="24" t="s">
        <v>9</v>
      </c>
      <c r="I94" s="25"/>
      <c r="J94" s="25"/>
    </row>
    <row r="95" spans="2:10" x14ac:dyDescent="0.25">
      <c r="B95" s="21">
        <v>68</v>
      </c>
      <c r="C95" s="22" t="s">
        <v>125</v>
      </c>
      <c r="D95" s="23" t="s">
        <v>137</v>
      </c>
      <c r="E95" s="24" t="s">
        <v>3</v>
      </c>
      <c r="F95" s="24"/>
      <c r="G95" s="24"/>
      <c r="H95" s="24" t="s">
        <v>9</v>
      </c>
      <c r="I95" s="25"/>
      <c r="J95" s="25"/>
    </row>
    <row r="96" spans="2:10" ht="27" x14ac:dyDescent="0.25">
      <c r="B96" s="21">
        <v>69</v>
      </c>
      <c r="C96" s="22" t="s">
        <v>34</v>
      </c>
      <c r="D96" s="23" t="s">
        <v>138</v>
      </c>
      <c r="E96" s="24" t="s">
        <v>3</v>
      </c>
      <c r="F96" s="24"/>
      <c r="G96" s="24"/>
      <c r="H96" s="24" t="s">
        <v>9</v>
      </c>
      <c r="I96" s="25"/>
      <c r="J96" s="25"/>
    </row>
    <row r="97" spans="2:10" x14ac:dyDescent="0.25">
      <c r="B97" s="21">
        <v>70</v>
      </c>
      <c r="C97" s="22" t="s">
        <v>139</v>
      </c>
      <c r="D97" s="23" t="s">
        <v>140</v>
      </c>
      <c r="E97" s="24" t="s">
        <v>3</v>
      </c>
      <c r="F97" s="24"/>
      <c r="G97" s="24"/>
      <c r="H97" s="24" t="s">
        <v>9</v>
      </c>
      <c r="I97" s="25"/>
      <c r="J97" s="25"/>
    </row>
    <row r="98" spans="2:10" x14ac:dyDescent="0.25">
      <c r="B98" s="21">
        <v>71</v>
      </c>
      <c r="C98" s="22" t="s">
        <v>141</v>
      </c>
      <c r="D98" s="23" t="s">
        <v>142</v>
      </c>
      <c r="E98" s="24" t="s">
        <v>3</v>
      </c>
      <c r="F98" s="24"/>
      <c r="G98" s="24"/>
      <c r="H98" s="24" t="s">
        <v>9</v>
      </c>
      <c r="I98" s="25"/>
      <c r="J98" s="25"/>
    </row>
    <row r="99" spans="2:10" ht="94.5" x14ac:dyDescent="0.25">
      <c r="B99" s="21">
        <v>72</v>
      </c>
      <c r="C99" s="22" t="s">
        <v>130</v>
      </c>
      <c r="D99" s="23" t="s">
        <v>143</v>
      </c>
      <c r="E99" s="24" t="s">
        <v>4</v>
      </c>
      <c r="F99" s="24"/>
      <c r="G99" s="24"/>
      <c r="H99" s="24" t="s">
        <v>9</v>
      </c>
      <c r="I99" s="25"/>
      <c r="J99" s="25"/>
    </row>
    <row r="100" spans="2:10" ht="27" x14ac:dyDescent="0.25">
      <c r="B100" s="21">
        <v>74</v>
      </c>
      <c r="C100" s="22" t="s">
        <v>130</v>
      </c>
      <c r="D100" s="23" t="s">
        <v>144</v>
      </c>
      <c r="E100" s="24" t="s">
        <v>3</v>
      </c>
      <c r="F100" s="24"/>
      <c r="G100" s="24"/>
      <c r="H100" s="24" t="s">
        <v>9</v>
      </c>
      <c r="I100" s="25"/>
      <c r="J100" s="25"/>
    </row>
    <row r="101" spans="2:10" x14ac:dyDescent="0.25">
      <c r="B101" s="21">
        <v>75</v>
      </c>
      <c r="C101" s="22" t="s">
        <v>145</v>
      </c>
      <c r="D101" s="23" t="s">
        <v>146</v>
      </c>
      <c r="E101" s="24" t="s">
        <v>5</v>
      </c>
      <c r="F101" s="24"/>
      <c r="G101" s="24"/>
      <c r="H101" s="24" t="s">
        <v>9</v>
      </c>
      <c r="I101" s="25"/>
      <c r="J101" s="25"/>
    </row>
    <row r="102" spans="2:10" x14ac:dyDescent="0.25">
      <c r="B102" s="21">
        <v>76</v>
      </c>
      <c r="C102" s="22" t="s">
        <v>110</v>
      </c>
      <c r="D102" s="23" t="s">
        <v>147</v>
      </c>
      <c r="E102" s="24" t="s">
        <v>4</v>
      </c>
      <c r="F102" s="24"/>
      <c r="G102" s="24"/>
      <c r="H102" s="24" t="s">
        <v>9</v>
      </c>
      <c r="I102" s="25"/>
      <c r="J102" s="25"/>
    </row>
    <row r="103" spans="2:10" ht="27" x14ac:dyDescent="0.25">
      <c r="B103" s="21">
        <v>77</v>
      </c>
      <c r="C103" s="22" t="s">
        <v>110</v>
      </c>
      <c r="D103" s="23" t="s">
        <v>148</v>
      </c>
      <c r="E103" s="24" t="s">
        <v>4</v>
      </c>
      <c r="F103" s="24"/>
      <c r="G103" s="24"/>
      <c r="H103" s="24" t="s">
        <v>9</v>
      </c>
      <c r="I103" s="25"/>
      <c r="J103" s="25"/>
    </row>
    <row r="104" spans="2:10" x14ac:dyDescent="0.25">
      <c r="B104" s="21">
        <v>78</v>
      </c>
      <c r="C104" s="22" t="s">
        <v>95</v>
      </c>
      <c r="D104" s="23" t="s">
        <v>149</v>
      </c>
      <c r="E104" s="24" t="s">
        <v>4</v>
      </c>
      <c r="F104" s="24"/>
      <c r="G104" s="24"/>
      <c r="H104" s="24" t="s">
        <v>9</v>
      </c>
      <c r="I104" s="25"/>
      <c r="J104" s="25"/>
    </row>
    <row r="105" spans="2:10" ht="121.5" x14ac:dyDescent="0.25">
      <c r="B105" s="21">
        <v>79</v>
      </c>
      <c r="C105" s="22" t="s">
        <v>150</v>
      </c>
      <c r="D105" s="23" t="s">
        <v>151</v>
      </c>
      <c r="E105" s="24" t="s">
        <v>3</v>
      </c>
      <c r="F105" s="24"/>
      <c r="G105" s="24"/>
      <c r="H105" s="24" t="s">
        <v>9</v>
      </c>
      <c r="I105" s="25"/>
      <c r="J105" s="25"/>
    </row>
    <row r="106" spans="2:10" ht="40.5" x14ac:dyDescent="0.25">
      <c r="B106" s="21">
        <v>80</v>
      </c>
      <c r="C106" s="22" t="s">
        <v>152</v>
      </c>
      <c r="D106" s="23" t="s">
        <v>153</v>
      </c>
      <c r="E106" s="24" t="s">
        <v>3</v>
      </c>
      <c r="F106" s="24"/>
      <c r="G106" s="24"/>
      <c r="H106" s="24" t="s">
        <v>9</v>
      </c>
      <c r="I106" s="25"/>
      <c r="J106" s="25"/>
    </row>
    <row r="107" spans="2:10" ht="40.5" x14ac:dyDescent="0.25">
      <c r="B107" s="21">
        <v>81</v>
      </c>
      <c r="C107" s="22" t="s">
        <v>130</v>
      </c>
      <c r="D107" s="23" t="s">
        <v>154</v>
      </c>
      <c r="E107" s="24"/>
      <c r="F107" s="24"/>
      <c r="G107" s="24"/>
      <c r="H107" s="24" t="s">
        <v>9</v>
      </c>
      <c r="I107" s="25"/>
      <c r="J107" s="25"/>
    </row>
    <row r="108" spans="2:10" ht="27" x14ac:dyDescent="0.25">
      <c r="B108" s="21">
        <v>82</v>
      </c>
      <c r="C108" s="22" t="s">
        <v>130</v>
      </c>
      <c r="D108" s="23" t="s">
        <v>155</v>
      </c>
      <c r="E108" s="24" t="s">
        <v>4</v>
      </c>
      <c r="F108" s="24"/>
      <c r="G108" s="24"/>
      <c r="H108" s="24" t="s">
        <v>9</v>
      </c>
      <c r="I108" s="25"/>
      <c r="J108" s="25"/>
    </row>
    <row r="109" spans="2:10" x14ac:dyDescent="0.25">
      <c r="B109" s="21">
        <v>83</v>
      </c>
      <c r="C109" s="22" t="s">
        <v>156</v>
      </c>
      <c r="D109" s="23" t="s">
        <v>157</v>
      </c>
      <c r="E109" s="24" t="s">
        <v>3</v>
      </c>
      <c r="F109" s="24"/>
      <c r="G109" s="24"/>
      <c r="H109" s="24" t="s">
        <v>9</v>
      </c>
      <c r="I109" s="25"/>
      <c r="J109" s="25"/>
    </row>
    <row r="110" spans="2:10" x14ac:dyDescent="0.25">
      <c r="B110" s="21">
        <v>84</v>
      </c>
      <c r="C110" s="22" t="s">
        <v>158</v>
      </c>
      <c r="D110" s="23" t="s">
        <v>159</v>
      </c>
      <c r="E110" s="24" t="s">
        <v>5</v>
      </c>
      <c r="F110" s="24"/>
      <c r="G110" s="24"/>
      <c r="H110" s="24" t="s">
        <v>9</v>
      </c>
      <c r="I110" s="25"/>
      <c r="J110" s="25"/>
    </row>
    <row r="111" spans="2:10" ht="27" x14ac:dyDescent="0.25">
      <c r="B111" s="21">
        <v>85</v>
      </c>
      <c r="C111" s="22" t="s">
        <v>160</v>
      </c>
      <c r="D111" s="23" t="s">
        <v>161</v>
      </c>
      <c r="E111" s="24" t="s">
        <v>4</v>
      </c>
      <c r="F111" s="24"/>
      <c r="G111" s="24"/>
      <c r="H111" s="24" t="s">
        <v>9</v>
      </c>
      <c r="I111" s="25"/>
      <c r="J111" s="25"/>
    </row>
    <row r="112" spans="2:10" ht="40.5" x14ac:dyDescent="0.25">
      <c r="B112" s="21">
        <v>86</v>
      </c>
      <c r="C112" s="22" t="s">
        <v>162</v>
      </c>
      <c r="D112" s="23" t="s">
        <v>169</v>
      </c>
      <c r="E112" s="24" t="s">
        <v>3</v>
      </c>
      <c r="F112" s="24"/>
      <c r="G112" s="24"/>
      <c r="H112" s="24" t="s">
        <v>9</v>
      </c>
      <c r="I112" s="25"/>
      <c r="J112" s="25"/>
    </row>
    <row r="113" spans="2:10" x14ac:dyDescent="0.25">
      <c r="B113" s="21">
        <v>87</v>
      </c>
      <c r="C113" s="22" t="s">
        <v>163</v>
      </c>
      <c r="D113" s="23" t="s">
        <v>164</v>
      </c>
      <c r="E113" s="24" t="s">
        <v>4</v>
      </c>
      <c r="F113" s="24"/>
      <c r="G113" s="24"/>
      <c r="H113" s="24" t="s">
        <v>9</v>
      </c>
      <c r="I113" s="25"/>
      <c r="J113" s="25"/>
    </row>
    <row r="114" spans="2:10" x14ac:dyDescent="0.25">
      <c r="B114" s="21">
        <v>88</v>
      </c>
      <c r="C114" s="22" t="s">
        <v>165</v>
      </c>
      <c r="D114" s="23" t="s">
        <v>166</v>
      </c>
      <c r="E114" s="24" t="s">
        <v>3</v>
      </c>
      <c r="F114" s="24"/>
      <c r="G114" s="24"/>
      <c r="H114" s="24" t="s">
        <v>9</v>
      </c>
      <c r="I114" s="25"/>
      <c r="J114" s="25"/>
    </row>
    <row r="115" spans="2:10" x14ac:dyDescent="0.25">
      <c r="B115" s="21">
        <v>89</v>
      </c>
      <c r="C115" s="22" t="s">
        <v>125</v>
      </c>
      <c r="D115" s="23" t="s">
        <v>167</v>
      </c>
      <c r="E115" s="24" t="s">
        <v>5</v>
      </c>
      <c r="F115" s="24"/>
      <c r="G115" s="24"/>
      <c r="H115" s="24" t="s">
        <v>9</v>
      </c>
      <c r="I115" s="25"/>
      <c r="J115" s="25"/>
    </row>
    <row r="116" spans="2:10" ht="40.5" x14ac:dyDescent="0.25">
      <c r="B116" s="21">
        <v>90</v>
      </c>
      <c r="C116" s="22" t="s">
        <v>125</v>
      </c>
      <c r="D116" s="23" t="s">
        <v>168</v>
      </c>
      <c r="E116" s="24" t="s">
        <v>4</v>
      </c>
      <c r="F116" s="24"/>
      <c r="G116" s="24"/>
      <c r="H116" s="24" t="s">
        <v>9</v>
      </c>
      <c r="I116" s="25"/>
      <c r="J116" s="25"/>
    </row>
    <row r="117" spans="2:10" x14ac:dyDescent="0.25">
      <c r="B117" s="21">
        <v>91</v>
      </c>
      <c r="C117" s="22" t="s">
        <v>125</v>
      </c>
      <c r="D117" s="23" t="s">
        <v>171</v>
      </c>
      <c r="E117" s="24" t="s">
        <v>5</v>
      </c>
      <c r="F117" s="24"/>
      <c r="G117" s="24"/>
      <c r="H117" s="24" t="s">
        <v>9</v>
      </c>
      <c r="I117" s="25"/>
      <c r="J117" s="25"/>
    </row>
    <row r="118" spans="2:10" ht="81" x14ac:dyDescent="0.25">
      <c r="B118" s="21">
        <v>92</v>
      </c>
      <c r="C118" s="22" t="s">
        <v>95</v>
      </c>
      <c r="D118" s="23" t="s">
        <v>172</v>
      </c>
      <c r="E118" s="24" t="s">
        <v>4</v>
      </c>
      <c r="F118" s="24"/>
      <c r="G118" s="24"/>
      <c r="H118" s="24" t="s">
        <v>9</v>
      </c>
      <c r="I118" s="25"/>
      <c r="J118" s="25"/>
    </row>
    <row r="119" spans="2:10" ht="27" x14ac:dyDescent="0.25">
      <c r="B119" s="21">
        <v>93</v>
      </c>
      <c r="C119" s="22" t="s">
        <v>95</v>
      </c>
      <c r="D119" s="23" t="s">
        <v>173</v>
      </c>
      <c r="E119" s="24" t="s">
        <v>4</v>
      </c>
      <c r="F119" s="24"/>
      <c r="G119" s="24"/>
      <c r="H119" s="24" t="s">
        <v>9</v>
      </c>
      <c r="I119" s="25"/>
      <c r="J119" s="25"/>
    </row>
    <row r="120" spans="2:10" x14ac:dyDescent="0.25">
      <c r="B120" s="21">
        <v>94</v>
      </c>
      <c r="C120" s="22" t="s">
        <v>174</v>
      </c>
      <c r="D120" s="23" t="s">
        <v>175</v>
      </c>
      <c r="E120" s="24" t="s">
        <v>3</v>
      </c>
      <c r="F120" s="24"/>
      <c r="G120" s="24"/>
      <c r="H120" s="24" t="s">
        <v>9</v>
      </c>
      <c r="I120" s="25"/>
      <c r="J120" s="25"/>
    </row>
    <row r="121" spans="2:10" x14ac:dyDescent="0.25">
      <c r="B121" s="21">
        <v>95</v>
      </c>
      <c r="C121" s="22" t="s">
        <v>125</v>
      </c>
      <c r="D121" s="23" t="s">
        <v>176</v>
      </c>
      <c r="E121" s="24" t="s">
        <v>3</v>
      </c>
      <c r="F121" s="24"/>
      <c r="G121" s="24"/>
      <c r="H121" s="24" t="s">
        <v>9</v>
      </c>
      <c r="I121" s="25"/>
      <c r="J121" s="25"/>
    </row>
    <row r="122" spans="2:10" x14ac:dyDescent="0.25">
      <c r="B122" s="21">
        <v>96</v>
      </c>
      <c r="C122" s="22" t="s">
        <v>139</v>
      </c>
      <c r="D122" s="23" t="s">
        <v>177</v>
      </c>
      <c r="E122" s="24" t="s">
        <v>4</v>
      </c>
      <c r="F122" s="24"/>
      <c r="G122" s="24"/>
      <c r="H122" s="24" t="s">
        <v>9</v>
      </c>
      <c r="I122" s="25"/>
      <c r="J122" s="25"/>
    </row>
    <row r="123" spans="2:10" ht="27" x14ac:dyDescent="0.25">
      <c r="B123" s="21">
        <v>97</v>
      </c>
      <c r="C123" s="22" t="s">
        <v>125</v>
      </c>
      <c r="D123" s="23" t="s">
        <v>178</v>
      </c>
      <c r="E123" s="24" t="s">
        <v>3</v>
      </c>
      <c r="F123" s="24"/>
      <c r="G123" s="24"/>
      <c r="H123" s="24" t="s">
        <v>9</v>
      </c>
      <c r="I123" s="25"/>
      <c r="J123" s="25"/>
    </row>
    <row r="124" spans="2:10" x14ac:dyDescent="0.25">
      <c r="B124" s="21">
        <v>98</v>
      </c>
      <c r="C124" s="22" t="s">
        <v>125</v>
      </c>
      <c r="D124" s="23" t="s">
        <v>179</v>
      </c>
      <c r="E124" s="24" t="s">
        <v>4</v>
      </c>
      <c r="F124" s="24"/>
      <c r="G124" s="24"/>
      <c r="H124" s="24" t="s">
        <v>9</v>
      </c>
      <c r="I124" s="25"/>
      <c r="J124" s="25"/>
    </row>
    <row r="125" spans="2:10" x14ac:dyDescent="0.25">
      <c r="B125" s="21">
        <v>99</v>
      </c>
      <c r="C125" s="22" t="s">
        <v>125</v>
      </c>
      <c r="D125" s="23" t="s">
        <v>180</v>
      </c>
      <c r="E125" s="24" t="s">
        <v>3</v>
      </c>
      <c r="F125" s="24"/>
      <c r="G125" s="24"/>
      <c r="H125" s="24" t="s">
        <v>9</v>
      </c>
      <c r="I125" s="25"/>
      <c r="J125" s="25"/>
    </row>
    <row r="126" spans="2:10" x14ac:dyDescent="0.25">
      <c r="B126" s="21">
        <v>100</v>
      </c>
      <c r="C126" s="22" t="s">
        <v>125</v>
      </c>
      <c r="D126" s="23" t="s">
        <v>182</v>
      </c>
      <c r="E126" s="24" t="s">
        <v>3</v>
      </c>
      <c r="F126" s="24"/>
      <c r="G126" s="24"/>
      <c r="H126" s="24" t="s">
        <v>9</v>
      </c>
      <c r="I126" s="25"/>
      <c r="J126" s="25"/>
    </row>
    <row r="127" spans="2:10" x14ac:dyDescent="0.25">
      <c r="B127" s="21">
        <v>101</v>
      </c>
      <c r="C127" s="22" t="s">
        <v>125</v>
      </c>
      <c r="D127" s="23" t="s">
        <v>183</v>
      </c>
      <c r="E127" s="24" t="s">
        <v>4</v>
      </c>
      <c r="F127" s="24"/>
      <c r="G127" s="24"/>
      <c r="H127" s="24" t="s">
        <v>9</v>
      </c>
      <c r="I127" s="25"/>
      <c r="J127" s="25"/>
    </row>
    <row r="128" spans="2:10" ht="94.5" x14ac:dyDescent="0.25">
      <c r="B128" s="21">
        <v>102</v>
      </c>
      <c r="C128" s="22" t="s">
        <v>162</v>
      </c>
      <c r="D128" s="23" t="s">
        <v>184</v>
      </c>
      <c r="E128" s="24" t="s">
        <v>3</v>
      </c>
      <c r="F128" s="24"/>
      <c r="G128" s="24"/>
      <c r="H128" s="24" t="s">
        <v>9</v>
      </c>
      <c r="I128" s="25"/>
      <c r="J128" s="25"/>
    </row>
    <row r="129" spans="2:10" x14ac:dyDescent="0.25">
      <c r="B129" s="21">
        <v>103</v>
      </c>
      <c r="C129" s="22" t="s">
        <v>185</v>
      </c>
      <c r="D129" s="23" t="s">
        <v>186</v>
      </c>
      <c r="E129" s="24" t="s">
        <v>5</v>
      </c>
      <c r="F129" s="24"/>
      <c r="G129" s="24"/>
      <c r="H129" s="24" t="s">
        <v>9</v>
      </c>
      <c r="I129" s="25"/>
      <c r="J129" s="25"/>
    </row>
    <row r="130" spans="2:10" x14ac:dyDescent="0.25">
      <c r="B130" s="21">
        <v>104</v>
      </c>
      <c r="C130" s="22" t="s">
        <v>120</v>
      </c>
      <c r="D130" s="23" t="s">
        <v>187</v>
      </c>
      <c r="E130" s="24" t="s">
        <v>5</v>
      </c>
      <c r="F130" s="24"/>
      <c r="G130" s="24"/>
      <c r="H130" s="24" t="s">
        <v>9</v>
      </c>
      <c r="I130" s="25"/>
      <c r="J130" s="25"/>
    </row>
    <row r="131" spans="2:10" ht="27" x14ac:dyDescent="0.25">
      <c r="B131" s="21">
        <v>105</v>
      </c>
      <c r="C131" s="22" t="s">
        <v>110</v>
      </c>
      <c r="D131" s="23" t="s">
        <v>188</v>
      </c>
      <c r="E131" s="24" t="s">
        <v>4</v>
      </c>
      <c r="F131" s="24"/>
      <c r="G131" s="24"/>
      <c r="H131" s="24" t="s">
        <v>9</v>
      </c>
      <c r="I131" s="25"/>
      <c r="J131" s="25"/>
    </row>
    <row r="132" spans="2:10" x14ac:dyDescent="0.25">
      <c r="B132" s="21">
        <v>106</v>
      </c>
      <c r="C132" s="22" t="s">
        <v>60</v>
      </c>
      <c r="D132" s="23" t="s">
        <v>189</v>
      </c>
      <c r="E132" s="24" t="s">
        <v>5</v>
      </c>
      <c r="F132" s="24"/>
      <c r="G132" s="24"/>
      <c r="H132" s="24" t="s">
        <v>9</v>
      </c>
      <c r="I132" s="25"/>
      <c r="J132" s="25"/>
    </row>
    <row r="133" spans="2:10" x14ac:dyDescent="0.25">
      <c r="B133" s="21">
        <v>107</v>
      </c>
      <c r="C133" s="22" t="s">
        <v>120</v>
      </c>
      <c r="D133" s="23" t="s">
        <v>190</v>
      </c>
      <c r="E133" s="24" t="s">
        <v>4</v>
      </c>
      <c r="F133" s="24"/>
      <c r="G133" s="24"/>
      <c r="H133" s="24" t="s">
        <v>9</v>
      </c>
      <c r="I133" s="25"/>
      <c r="J133" s="25"/>
    </row>
    <row r="134" spans="2:10" x14ac:dyDescent="0.25">
      <c r="B134" s="21">
        <v>110</v>
      </c>
      <c r="C134" s="22" t="s">
        <v>125</v>
      </c>
      <c r="D134" s="23" t="s">
        <v>191</v>
      </c>
      <c r="E134" s="24" t="s">
        <v>5</v>
      </c>
      <c r="F134" s="24"/>
      <c r="G134" s="24"/>
      <c r="H134" s="24" t="s">
        <v>9</v>
      </c>
      <c r="I134" s="25"/>
      <c r="J134" s="25"/>
    </row>
    <row r="135" spans="2:10" x14ac:dyDescent="0.25">
      <c r="B135" s="21">
        <v>111</v>
      </c>
      <c r="C135" s="22" t="s">
        <v>125</v>
      </c>
      <c r="D135" s="23" t="s">
        <v>192</v>
      </c>
      <c r="E135" s="24" t="s">
        <v>3</v>
      </c>
      <c r="F135" s="24"/>
      <c r="G135" s="24"/>
      <c r="H135" s="24" t="s">
        <v>9</v>
      </c>
      <c r="I135" s="25"/>
      <c r="J135" s="25"/>
    </row>
    <row r="136" spans="2:10" ht="67.5" x14ac:dyDescent="0.25">
      <c r="B136" s="21">
        <v>112</v>
      </c>
      <c r="C136" s="22" t="s">
        <v>193</v>
      </c>
      <c r="D136" s="23" t="s">
        <v>194</v>
      </c>
      <c r="E136" s="24" t="s">
        <v>5</v>
      </c>
      <c r="F136" s="24"/>
      <c r="G136" s="24"/>
      <c r="H136" s="24" t="s">
        <v>9</v>
      </c>
      <c r="I136" s="25"/>
      <c r="J136" s="25"/>
    </row>
    <row r="137" spans="2:10" x14ac:dyDescent="0.25">
      <c r="B137" s="21">
        <v>113</v>
      </c>
      <c r="C137" s="22" t="s">
        <v>145</v>
      </c>
      <c r="D137" s="23" t="s">
        <v>195</v>
      </c>
      <c r="E137" s="24" t="s">
        <v>4</v>
      </c>
      <c r="F137" s="24"/>
      <c r="G137" s="24"/>
      <c r="H137" s="24" t="s">
        <v>9</v>
      </c>
      <c r="I137" s="25"/>
      <c r="J137" s="25"/>
    </row>
    <row r="138" spans="2:10" x14ac:dyDescent="0.25">
      <c r="B138" s="21">
        <v>114</v>
      </c>
      <c r="C138" s="22" t="s">
        <v>163</v>
      </c>
      <c r="D138" s="23" t="s">
        <v>196</v>
      </c>
      <c r="E138" s="24" t="s">
        <v>5</v>
      </c>
      <c r="F138" s="24"/>
      <c r="G138" s="24"/>
      <c r="H138" s="24" t="s">
        <v>9</v>
      </c>
      <c r="I138" s="25"/>
      <c r="J138" s="25"/>
    </row>
    <row r="139" spans="2:10" x14ac:dyDescent="0.25">
      <c r="B139" s="21">
        <v>115</v>
      </c>
      <c r="C139" s="22" t="s">
        <v>197</v>
      </c>
      <c r="D139" s="23" t="s">
        <v>198</v>
      </c>
      <c r="E139" s="24" t="s">
        <v>5</v>
      </c>
      <c r="F139" s="24"/>
      <c r="G139" s="24"/>
      <c r="H139" s="24" t="s">
        <v>9</v>
      </c>
      <c r="I139" s="25"/>
      <c r="J139" s="25"/>
    </row>
    <row r="140" spans="2:10" x14ac:dyDescent="0.25">
      <c r="B140" s="21">
        <v>117</v>
      </c>
      <c r="C140" s="22" t="s">
        <v>197</v>
      </c>
      <c r="D140" s="23" t="s">
        <v>199</v>
      </c>
      <c r="E140" s="24" t="s">
        <v>3</v>
      </c>
      <c r="F140" s="24"/>
      <c r="G140" s="24"/>
      <c r="H140" s="24" t="s">
        <v>9</v>
      </c>
      <c r="I140" s="25"/>
      <c r="J140" s="25"/>
    </row>
    <row r="141" spans="2:10" x14ac:dyDescent="0.25">
      <c r="B141" s="21">
        <v>118</v>
      </c>
      <c r="C141" s="22" t="s">
        <v>197</v>
      </c>
      <c r="D141" s="23" t="s">
        <v>200</v>
      </c>
      <c r="E141" s="24" t="s">
        <v>3</v>
      </c>
      <c r="F141" s="24"/>
      <c r="G141" s="24"/>
      <c r="H141" s="24" t="s">
        <v>9</v>
      </c>
      <c r="I141" s="25"/>
      <c r="J141" s="25"/>
    </row>
    <row r="142" spans="2:10" x14ac:dyDescent="0.25">
      <c r="B142" s="21">
        <v>119</v>
      </c>
      <c r="C142" s="22" t="s">
        <v>139</v>
      </c>
      <c r="D142" s="23" t="s">
        <v>201</v>
      </c>
      <c r="E142" s="24" t="s">
        <v>3</v>
      </c>
      <c r="F142" s="24"/>
      <c r="G142" s="24"/>
      <c r="H142" s="24" t="s">
        <v>9</v>
      </c>
      <c r="I142" s="25"/>
      <c r="J142" s="25"/>
    </row>
    <row r="143" spans="2:10" ht="27" x14ac:dyDescent="0.25">
      <c r="B143" s="21">
        <v>120</v>
      </c>
      <c r="C143" s="22" t="s">
        <v>202</v>
      </c>
      <c r="D143" s="23" t="s">
        <v>203</v>
      </c>
      <c r="E143" s="24" t="s">
        <v>3</v>
      </c>
      <c r="F143" s="24"/>
      <c r="G143" s="24"/>
      <c r="H143" s="24" t="s">
        <v>9</v>
      </c>
      <c r="I143" s="25"/>
      <c r="J143" s="25"/>
    </row>
    <row r="144" spans="2:10" ht="27" x14ac:dyDescent="0.25">
      <c r="B144" s="21">
        <v>121</v>
      </c>
      <c r="C144" s="22" t="s">
        <v>163</v>
      </c>
      <c r="D144" s="23" t="s">
        <v>204</v>
      </c>
      <c r="E144" s="24" t="s">
        <v>4</v>
      </c>
      <c r="F144" s="24"/>
      <c r="G144" s="24"/>
      <c r="H144" s="24" t="s">
        <v>9</v>
      </c>
      <c r="I144" s="25"/>
      <c r="J144" s="25"/>
    </row>
    <row r="145" spans="2:10" ht="40.5" x14ac:dyDescent="0.25">
      <c r="B145" s="21">
        <v>122</v>
      </c>
      <c r="C145" s="22" t="s">
        <v>130</v>
      </c>
      <c r="D145" s="23" t="s">
        <v>205</v>
      </c>
      <c r="E145" s="24" t="s">
        <v>3</v>
      </c>
      <c r="F145" s="24"/>
      <c r="G145" s="24"/>
      <c r="H145" s="24" t="s">
        <v>9</v>
      </c>
      <c r="I145" s="25"/>
      <c r="J145" s="25"/>
    </row>
    <row r="146" spans="2:10" x14ac:dyDescent="0.25">
      <c r="B146" s="21">
        <v>123</v>
      </c>
      <c r="C146" s="22" t="s">
        <v>206</v>
      </c>
      <c r="D146" s="23" t="s">
        <v>207</v>
      </c>
      <c r="E146" s="24" t="s">
        <v>3</v>
      </c>
      <c r="F146" s="24"/>
      <c r="G146" s="24"/>
      <c r="H146" s="24" t="s">
        <v>9</v>
      </c>
      <c r="I146" s="25"/>
      <c r="J146" s="25"/>
    </row>
    <row r="147" spans="2:10" ht="27" x14ac:dyDescent="0.25">
      <c r="B147" s="21">
        <v>124</v>
      </c>
      <c r="C147" s="22" t="s">
        <v>156</v>
      </c>
      <c r="D147" s="23" t="s">
        <v>208</v>
      </c>
      <c r="E147" s="24" t="s">
        <v>3</v>
      </c>
      <c r="F147" s="24"/>
      <c r="G147" s="24"/>
      <c r="H147" s="24" t="s">
        <v>9</v>
      </c>
      <c r="I147" s="25"/>
      <c r="J147" s="25"/>
    </row>
    <row r="148" spans="2:10" ht="108" x14ac:dyDescent="0.25">
      <c r="B148" s="21">
        <v>125</v>
      </c>
      <c r="C148" s="22" t="s">
        <v>116</v>
      </c>
      <c r="D148" s="23" t="s">
        <v>209</v>
      </c>
      <c r="E148" s="24" t="s">
        <v>3</v>
      </c>
      <c r="F148" s="24"/>
      <c r="G148" s="24"/>
      <c r="H148" s="24" t="s">
        <v>9</v>
      </c>
      <c r="I148" s="25"/>
      <c r="J148" s="25"/>
    </row>
    <row r="149" spans="2:10" x14ac:dyDescent="0.25">
      <c r="B149" s="21">
        <v>126</v>
      </c>
      <c r="C149" s="22" t="s">
        <v>210</v>
      </c>
      <c r="D149" s="23" t="s">
        <v>211</v>
      </c>
      <c r="E149" s="24" t="s">
        <v>3</v>
      </c>
      <c r="F149" s="24"/>
      <c r="G149" s="24"/>
      <c r="H149" s="24" t="s">
        <v>9</v>
      </c>
      <c r="I149" s="25"/>
      <c r="J149" s="25"/>
    </row>
    <row r="150" spans="2:10" x14ac:dyDescent="0.25">
      <c r="B150" s="21">
        <v>129</v>
      </c>
      <c r="C150" s="22" t="s">
        <v>212</v>
      </c>
      <c r="D150" s="23" t="s">
        <v>213</v>
      </c>
      <c r="E150" s="24" t="s">
        <v>4</v>
      </c>
      <c r="F150" s="24"/>
      <c r="G150" s="24"/>
      <c r="H150" s="24" t="s">
        <v>9</v>
      </c>
      <c r="I150" s="25"/>
      <c r="J150" s="25"/>
    </row>
    <row r="151" spans="2:10" x14ac:dyDescent="0.25">
      <c r="B151" s="21">
        <v>130</v>
      </c>
      <c r="C151" s="22" t="s">
        <v>212</v>
      </c>
      <c r="D151" s="23" t="s">
        <v>214</v>
      </c>
      <c r="E151" s="24" t="s">
        <v>4</v>
      </c>
      <c r="F151" s="24"/>
      <c r="G151" s="24"/>
      <c r="H151" s="24" t="s">
        <v>9</v>
      </c>
      <c r="I151" s="25"/>
      <c r="J151" s="25"/>
    </row>
    <row r="152" spans="2:10" x14ac:dyDescent="0.25">
      <c r="B152" s="21">
        <v>131</v>
      </c>
      <c r="C152" s="22" t="s">
        <v>212</v>
      </c>
      <c r="D152" s="23" t="s">
        <v>215</v>
      </c>
      <c r="E152" s="24" t="s">
        <v>4</v>
      </c>
      <c r="F152" s="24"/>
      <c r="G152" s="24"/>
      <c r="H152" s="24" t="s">
        <v>9</v>
      </c>
      <c r="I152" s="25"/>
      <c r="J152" s="25"/>
    </row>
    <row r="153" spans="2:10" x14ac:dyDescent="0.25">
      <c r="B153" s="21">
        <v>132</v>
      </c>
      <c r="C153" s="22" t="s">
        <v>212</v>
      </c>
      <c r="D153" s="23" t="s">
        <v>216</v>
      </c>
      <c r="E153" s="24" t="s">
        <v>4</v>
      </c>
      <c r="F153" s="24"/>
      <c r="G153" s="24"/>
      <c r="H153" s="24" t="s">
        <v>9</v>
      </c>
      <c r="I153" s="25"/>
      <c r="J153" s="25"/>
    </row>
    <row r="154" spans="2:10" x14ac:dyDescent="0.25">
      <c r="B154" s="21">
        <v>133</v>
      </c>
      <c r="C154" s="22" t="s">
        <v>212</v>
      </c>
      <c r="D154" s="23" t="s">
        <v>217</v>
      </c>
      <c r="E154" s="24" t="s">
        <v>4</v>
      </c>
      <c r="F154" s="24"/>
      <c r="G154" s="24"/>
      <c r="H154" s="24" t="s">
        <v>9</v>
      </c>
      <c r="I154" s="25"/>
      <c r="J154" s="25"/>
    </row>
    <row r="155" spans="2:10" x14ac:dyDescent="0.25">
      <c r="B155" s="21">
        <v>135</v>
      </c>
      <c r="C155" s="22" t="s">
        <v>212</v>
      </c>
      <c r="D155" s="23" t="s">
        <v>218</v>
      </c>
      <c r="E155" s="24" t="s">
        <v>4</v>
      </c>
      <c r="F155" s="24"/>
      <c r="G155" s="24"/>
      <c r="H155" s="24" t="s">
        <v>9</v>
      </c>
      <c r="I155" s="25"/>
      <c r="J155" s="25"/>
    </row>
    <row r="156" spans="2:10" x14ac:dyDescent="0.25">
      <c r="B156" s="21">
        <v>136</v>
      </c>
      <c r="C156" s="22" t="s">
        <v>212</v>
      </c>
      <c r="D156" s="23" t="s">
        <v>219</v>
      </c>
      <c r="E156" s="24" t="s">
        <v>4</v>
      </c>
      <c r="F156" s="24"/>
      <c r="G156" s="24"/>
      <c r="H156" s="24" t="s">
        <v>9</v>
      </c>
      <c r="I156" s="25"/>
      <c r="J156" s="25"/>
    </row>
    <row r="157" spans="2:10" x14ac:dyDescent="0.25">
      <c r="B157" s="21">
        <v>137</v>
      </c>
      <c r="C157" s="22" t="s">
        <v>212</v>
      </c>
      <c r="D157" s="23" t="s">
        <v>220</v>
      </c>
      <c r="E157" s="24" t="s">
        <v>4</v>
      </c>
      <c r="F157" s="24"/>
      <c r="G157" s="24"/>
      <c r="H157" s="24" t="s">
        <v>9</v>
      </c>
      <c r="I157" s="25"/>
      <c r="J157" s="25"/>
    </row>
    <row r="158" spans="2:10" x14ac:dyDescent="0.25">
      <c r="B158" s="21">
        <v>138</v>
      </c>
      <c r="C158" s="22" t="s">
        <v>212</v>
      </c>
      <c r="D158" s="23" t="s">
        <v>221</v>
      </c>
      <c r="E158" s="24" t="s">
        <v>4</v>
      </c>
      <c r="F158" s="24"/>
      <c r="G158" s="24"/>
      <c r="H158" s="24" t="s">
        <v>9</v>
      </c>
      <c r="I158" s="25"/>
      <c r="J158" s="25"/>
    </row>
    <row r="159" spans="2:10" x14ac:dyDescent="0.25">
      <c r="B159" s="21">
        <v>139</v>
      </c>
      <c r="C159" s="22" t="s">
        <v>212</v>
      </c>
      <c r="D159" s="23" t="s">
        <v>222</v>
      </c>
      <c r="E159" s="24" t="s">
        <v>4</v>
      </c>
      <c r="F159" s="24"/>
      <c r="G159" s="24"/>
      <c r="H159" s="24" t="s">
        <v>9</v>
      </c>
      <c r="I159" s="25"/>
      <c r="J159" s="25"/>
    </row>
    <row r="160" spans="2:10" x14ac:dyDescent="0.25">
      <c r="B160" s="21">
        <v>140</v>
      </c>
      <c r="C160" s="22" t="s">
        <v>212</v>
      </c>
      <c r="D160" s="23" t="s">
        <v>223</v>
      </c>
      <c r="E160" s="24" t="s">
        <v>4</v>
      </c>
      <c r="F160" s="24"/>
      <c r="G160" s="24"/>
      <c r="H160" s="24" t="s">
        <v>9</v>
      </c>
      <c r="I160" s="25"/>
      <c r="J160" s="25"/>
    </row>
    <row r="161" spans="2:10" x14ac:dyDescent="0.25">
      <c r="B161" s="21">
        <v>141</v>
      </c>
      <c r="C161" s="22" t="s">
        <v>212</v>
      </c>
      <c r="D161" s="23" t="s">
        <v>224</v>
      </c>
      <c r="E161" s="24" t="s">
        <v>4</v>
      </c>
      <c r="F161" s="24"/>
      <c r="G161" s="24"/>
      <c r="H161" s="24" t="s">
        <v>9</v>
      </c>
      <c r="I161" s="25"/>
      <c r="J161" s="25"/>
    </row>
    <row r="162" spans="2:10" x14ac:dyDescent="0.25">
      <c r="B162" s="21">
        <v>142</v>
      </c>
      <c r="C162" s="22" t="s">
        <v>212</v>
      </c>
      <c r="D162" s="23" t="s">
        <v>225</v>
      </c>
      <c r="E162" s="24" t="s">
        <v>4</v>
      </c>
      <c r="F162" s="24"/>
      <c r="G162" s="24"/>
      <c r="H162" s="24" t="s">
        <v>9</v>
      </c>
      <c r="I162" s="25"/>
      <c r="J162" s="25"/>
    </row>
    <row r="163" spans="2:10" x14ac:dyDescent="0.25">
      <c r="B163" s="21">
        <v>143</v>
      </c>
      <c r="C163" s="22" t="s">
        <v>212</v>
      </c>
      <c r="D163" s="23" t="s">
        <v>226</v>
      </c>
      <c r="E163" s="24" t="s">
        <v>4</v>
      </c>
      <c r="F163" s="24"/>
      <c r="G163" s="24"/>
      <c r="H163" s="24" t="s">
        <v>9</v>
      </c>
      <c r="I163" s="25"/>
      <c r="J163" s="25"/>
    </row>
    <row r="164" spans="2:10" x14ac:dyDescent="0.25">
      <c r="B164" s="21">
        <v>144</v>
      </c>
      <c r="C164" s="22" t="s">
        <v>212</v>
      </c>
      <c r="D164" s="23" t="s">
        <v>227</v>
      </c>
      <c r="E164" s="24" t="s">
        <v>4</v>
      </c>
      <c r="F164" s="24"/>
      <c r="G164" s="24"/>
      <c r="H164" s="24" t="s">
        <v>9</v>
      </c>
      <c r="I164" s="25"/>
      <c r="J164" s="25"/>
    </row>
    <row r="165" spans="2:10" x14ac:dyDescent="0.25">
      <c r="B165" s="21">
        <v>145</v>
      </c>
      <c r="C165" s="22" t="s">
        <v>212</v>
      </c>
      <c r="D165" s="23" t="s">
        <v>228</v>
      </c>
      <c r="E165" s="24" t="s">
        <v>4</v>
      </c>
      <c r="F165" s="24"/>
      <c r="G165" s="24"/>
      <c r="H165" s="24" t="s">
        <v>9</v>
      </c>
      <c r="I165" s="25"/>
      <c r="J165" s="25"/>
    </row>
    <row r="166" spans="2:10" x14ac:dyDescent="0.25">
      <c r="B166" s="21">
        <v>146</v>
      </c>
      <c r="C166" s="22" t="s">
        <v>212</v>
      </c>
      <c r="D166" s="23" t="s">
        <v>229</v>
      </c>
      <c r="E166" s="24" t="s">
        <v>4</v>
      </c>
      <c r="F166" s="24"/>
      <c r="G166" s="24"/>
      <c r="H166" s="24" t="s">
        <v>9</v>
      </c>
      <c r="I166" s="25"/>
      <c r="J166" s="25"/>
    </row>
    <row r="167" spans="2:10" x14ac:dyDescent="0.25">
      <c r="B167" s="21">
        <v>147</v>
      </c>
      <c r="C167" s="22" t="s">
        <v>212</v>
      </c>
      <c r="D167" s="23" t="s">
        <v>230</v>
      </c>
      <c r="E167" s="24" t="s">
        <v>4</v>
      </c>
      <c r="F167" s="24"/>
      <c r="G167" s="24"/>
      <c r="H167" s="24" t="s">
        <v>9</v>
      </c>
      <c r="I167" s="25"/>
      <c r="J167" s="25"/>
    </row>
    <row r="168" spans="2:10" x14ac:dyDescent="0.25">
      <c r="B168" s="21">
        <v>149</v>
      </c>
      <c r="C168" s="22" t="s">
        <v>212</v>
      </c>
      <c r="D168" s="23" t="s">
        <v>232</v>
      </c>
      <c r="E168" s="24" t="s">
        <v>4</v>
      </c>
      <c r="F168" s="24"/>
      <c r="G168" s="24"/>
      <c r="H168" s="24" t="s">
        <v>9</v>
      </c>
      <c r="I168" s="25"/>
      <c r="J168" s="25"/>
    </row>
    <row r="169" spans="2:10" x14ac:dyDescent="0.25">
      <c r="B169" s="21">
        <v>150</v>
      </c>
      <c r="C169" s="22" t="s">
        <v>212</v>
      </c>
      <c r="D169" s="23" t="s">
        <v>233</v>
      </c>
      <c r="E169" s="24" t="s">
        <v>4</v>
      </c>
      <c r="F169" s="24"/>
      <c r="G169" s="24"/>
      <c r="H169" s="24" t="s">
        <v>9</v>
      </c>
      <c r="I169" s="25"/>
      <c r="J169" s="25"/>
    </row>
    <row r="170" spans="2:10" x14ac:dyDescent="0.25">
      <c r="B170" s="21">
        <v>151</v>
      </c>
      <c r="C170" s="22" t="s">
        <v>212</v>
      </c>
      <c r="D170" s="23" t="s">
        <v>234</v>
      </c>
      <c r="E170" s="24" t="s">
        <v>4</v>
      </c>
      <c r="F170" s="24"/>
      <c r="G170" s="24"/>
      <c r="H170" s="24" t="s">
        <v>9</v>
      </c>
      <c r="I170" s="25"/>
      <c r="J170" s="25"/>
    </row>
    <row r="171" spans="2:10" x14ac:dyDescent="0.25">
      <c r="B171" s="21">
        <v>152</v>
      </c>
      <c r="C171" s="22" t="s">
        <v>212</v>
      </c>
      <c r="D171" s="23" t="s">
        <v>235</v>
      </c>
      <c r="E171" s="24" t="s">
        <v>4</v>
      </c>
      <c r="F171" s="24"/>
      <c r="G171" s="24"/>
      <c r="H171" s="24" t="s">
        <v>9</v>
      </c>
      <c r="I171" s="25"/>
      <c r="J171" s="25"/>
    </row>
    <row r="172" spans="2:10" x14ac:dyDescent="0.25">
      <c r="B172" s="21">
        <v>153</v>
      </c>
      <c r="C172" s="22" t="s">
        <v>212</v>
      </c>
      <c r="D172" s="23" t="s">
        <v>236</v>
      </c>
      <c r="E172" s="24" t="s">
        <v>4</v>
      </c>
      <c r="F172" s="24"/>
      <c r="G172" s="24"/>
      <c r="H172" s="24" t="s">
        <v>9</v>
      </c>
      <c r="I172" s="25"/>
      <c r="J172" s="25"/>
    </row>
    <row r="173" spans="2:10" x14ac:dyDescent="0.25">
      <c r="B173" s="21">
        <v>154</v>
      </c>
      <c r="C173" s="22" t="s">
        <v>212</v>
      </c>
      <c r="D173" s="23" t="s">
        <v>237</v>
      </c>
      <c r="E173" s="24" t="s">
        <v>4</v>
      </c>
      <c r="F173" s="24"/>
      <c r="G173" s="24"/>
      <c r="H173" s="24" t="s">
        <v>9</v>
      </c>
      <c r="I173" s="25"/>
      <c r="J173" s="25"/>
    </row>
    <row r="174" spans="2:10" x14ac:dyDescent="0.25">
      <c r="B174" s="21">
        <v>155</v>
      </c>
      <c r="C174" s="22" t="s">
        <v>212</v>
      </c>
      <c r="D174" s="23" t="s">
        <v>238</v>
      </c>
      <c r="E174" s="24" t="s">
        <v>4</v>
      </c>
      <c r="F174" s="24"/>
      <c r="G174" s="24"/>
      <c r="H174" s="24" t="s">
        <v>9</v>
      </c>
      <c r="I174" s="25"/>
      <c r="J174" s="25"/>
    </row>
    <row r="175" spans="2:10" x14ac:dyDescent="0.25">
      <c r="B175" s="21">
        <v>156</v>
      </c>
      <c r="C175" s="22" t="s">
        <v>212</v>
      </c>
      <c r="D175" s="23" t="s">
        <v>239</v>
      </c>
      <c r="E175" s="24" t="s">
        <v>4</v>
      </c>
      <c r="F175" s="24"/>
      <c r="G175" s="24"/>
      <c r="H175" s="24" t="s">
        <v>9</v>
      </c>
      <c r="I175" s="25"/>
      <c r="J175" s="25"/>
    </row>
    <row r="176" spans="2:10" x14ac:dyDescent="0.25">
      <c r="B176" s="21">
        <v>157</v>
      </c>
      <c r="C176" s="22" t="s">
        <v>212</v>
      </c>
      <c r="D176" s="23" t="s">
        <v>240</v>
      </c>
      <c r="E176" s="24" t="s">
        <v>4</v>
      </c>
      <c r="F176" s="24"/>
      <c r="G176" s="24"/>
      <c r="H176" s="24" t="s">
        <v>9</v>
      </c>
      <c r="I176" s="25"/>
      <c r="J176" s="25"/>
    </row>
    <row r="177" spans="2:10" x14ac:dyDescent="0.25">
      <c r="B177" s="21">
        <v>158</v>
      </c>
      <c r="C177" s="22" t="s">
        <v>212</v>
      </c>
      <c r="D177" s="23" t="s">
        <v>241</v>
      </c>
      <c r="E177" s="24" t="s">
        <v>4</v>
      </c>
      <c r="F177" s="24"/>
      <c r="G177" s="24"/>
      <c r="H177" s="24" t="s">
        <v>9</v>
      </c>
      <c r="I177" s="25"/>
      <c r="J177" s="25"/>
    </row>
    <row r="178" spans="2:10" x14ac:dyDescent="0.25">
      <c r="B178" s="21">
        <v>159</v>
      </c>
      <c r="C178" s="22" t="s">
        <v>212</v>
      </c>
      <c r="D178" s="23" t="s">
        <v>242</v>
      </c>
      <c r="E178" s="24" t="s">
        <v>4</v>
      </c>
      <c r="F178" s="24"/>
      <c r="G178" s="24"/>
      <c r="H178" s="24" t="s">
        <v>9</v>
      </c>
      <c r="I178" s="25"/>
      <c r="J178" s="25"/>
    </row>
    <row r="179" spans="2:10" x14ac:dyDescent="0.25">
      <c r="B179" s="21">
        <v>160</v>
      </c>
      <c r="C179" s="22" t="s">
        <v>212</v>
      </c>
      <c r="D179" s="23" t="s">
        <v>243</v>
      </c>
      <c r="E179" s="24" t="s">
        <v>4</v>
      </c>
      <c r="F179" s="24"/>
      <c r="G179" s="24"/>
      <c r="H179" s="24" t="s">
        <v>9</v>
      </c>
      <c r="I179" s="25"/>
      <c r="J179" s="25"/>
    </row>
    <row r="180" spans="2:10" x14ac:dyDescent="0.25">
      <c r="B180" s="21">
        <v>161</v>
      </c>
      <c r="C180" s="22" t="s">
        <v>212</v>
      </c>
      <c r="D180" s="23" t="s">
        <v>244</v>
      </c>
      <c r="E180" s="24" t="s">
        <v>4</v>
      </c>
      <c r="F180" s="24"/>
      <c r="G180" s="24"/>
      <c r="H180" s="24" t="s">
        <v>9</v>
      </c>
      <c r="I180" s="25"/>
      <c r="J180" s="25"/>
    </row>
    <row r="181" spans="2:10" x14ac:dyDescent="0.25">
      <c r="B181" s="21">
        <v>162</v>
      </c>
      <c r="C181" s="22" t="s">
        <v>212</v>
      </c>
      <c r="D181" s="23" t="s">
        <v>245</v>
      </c>
      <c r="E181" s="24" t="s">
        <v>4</v>
      </c>
      <c r="F181" s="24"/>
      <c r="G181" s="24"/>
      <c r="H181" s="24" t="s">
        <v>9</v>
      </c>
      <c r="I181" s="25"/>
      <c r="J181" s="25"/>
    </row>
    <row r="182" spans="2:10" x14ac:dyDescent="0.25">
      <c r="B182" s="21">
        <v>163</v>
      </c>
      <c r="C182" s="22" t="s">
        <v>212</v>
      </c>
      <c r="D182" s="23" t="s">
        <v>246</v>
      </c>
      <c r="E182" s="24" t="s">
        <v>4</v>
      </c>
      <c r="F182" s="24"/>
      <c r="G182" s="24"/>
      <c r="H182" s="24" t="s">
        <v>9</v>
      </c>
      <c r="I182" s="25"/>
      <c r="J182" s="25"/>
    </row>
    <row r="183" spans="2:10" x14ac:dyDescent="0.25">
      <c r="B183" s="21">
        <v>164</v>
      </c>
      <c r="C183" s="22" t="s">
        <v>212</v>
      </c>
      <c r="D183" s="23" t="s">
        <v>247</v>
      </c>
      <c r="E183" s="24" t="s">
        <v>4</v>
      </c>
      <c r="F183" s="24"/>
      <c r="G183" s="24"/>
      <c r="H183" s="24" t="s">
        <v>9</v>
      </c>
      <c r="I183" s="25"/>
      <c r="J183" s="25"/>
    </row>
    <row r="184" spans="2:10" x14ac:dyDescent="0.25">
      <c r="B184" s="21">
        <v>165</v>
      </c>
      <c r="C184" s="22" t="s">
        <v>212</v>
      </c>
      <c r="D184" s="23" t="s">
        <v>248</v>
      </c>
      <c r="E184" s="24" t="s">
        <v>4</v>
      </c>
      <c r="F184" s="24"/>
      <c r="G184" s="24"/>
      <c r="H184" s="24" t="s">
        <v>9</v>
      </c>
      <c r="I184" s="25"/>
      <c r="J184" s="25"/>
    </row>
    <row r="185" spans="2:10" x14ac:dyDescent="0.25">
      <c r="B185" s="21">
        <v>166</v>
      </c>
      <c r="C185" s="22" t="s">
        <v>212</v>
      </c>
      <c r="D185" s="23" t="s">
        <v>249</v>
      </c>
      <c r="E185" s="24" t="s">
        <v>4</v>
      </c>
      <c r="F185" s="24"/>
      <c r="G185" s="24"/>
      <c r="H185" s="24" t="s">
        <v>9</v>
      </c>
      <c r="I185" s="25"/>
      <c r="J185" s="25"/>
    </row>
    <row r="186" spans="2:10" x14ac:dyDescent="0.25">
      <c r="B186" s="21">
        <v>167</v>
      </c>
      <c r="C186" s="22" t="s">
        <v>212</v>
      </c>
      <c r="D186" s="23" t="s">
        <v>250</v>
      </c>
      <c r="E186" s="24" t="s">
        <v>4</v>
      </c>
      <c r="F186" s="24"/>
      <c r="G186" s="24"/>
      <c r="H186" s="24" t="s">
        <v>9</v>
      </c>
      <c r="I186" s="25"/>
      <c r="J186" s="25"/>
    </row>
    <row r="187" spans="2:10" x14ac:dyDescent="0.25">
      <c r="B187" s="21">
        <v>168</v>
      </c>
      <c r="C187" s="22" t="s">
        <v>212</v>
      </c>
      <c r="D187" s="23" t="s">
        <v>251</v>
      </c>
      <c r="E187" s="24" t="s">
        <v>4</v>
      </c>
      <c r="F187" s="24"/>
      <c r="G187" s="24"/>
      <c r="H187" s="24" t="s">
        <v>9</v>
      </c>
      <c r="I187" s="25"/>
      <c r="J187" s="25"/>
    </row>
    <row r="188" spans="2:10" x14ac:dyDescent="0.25">
      <c r="B188" s="21">
        <v>170</v>
      </c>
      <c r="C188" s="22" t="s">
        <v>212</v>
      </c>
      <c r="D188" s="23" t="s">
        <v>253</v>
      </c>
      <c r="E188" s="24" t="s">
        <v>4</v>
      </c>
      <c r="F188" s="24"/>
      <c r="G188" s="24"/>
      <c r="H188" s="24" t="s">
        <v>9</v>
      </c>
      <c r="I188" s="25"/>
      <c r="J188" s="25"/>
    </row>
    <row r="189" spans="2:10" x14ac:dyDescent="0.25">
      <c r="B189" s="21">
        <v>171</v>
      </c>
      <c r="C189" s="22" t="s">
        <v>212</v>
      </c>
      <c r="D189" s="23" t="s">
        <v>254</v>
      </c>
      <c r="E189" s="24" t="s">
        <v>4</v>
      </c>
      <c r="F189" s="24"/>
      <c r="G189" s="24"/>
      <c r="H189" s="24" t="s">
        <v>9</v>
      </c>
      <c r="I189" s="25"/>
      <c r="J189" s="25"/>
    </row>
    <row r="190" spans="2:10" x14ac:dyDescent="0.25">
      <c r="B190" s="21">
        <v>172</v>
      </c>
      <c r="C190" s="22" t="s">
        <v>212</v>
      </c>
      <c r="D190" s="23" t="s">
        <v>255</v>
      </c>
      <c r="E190" s="24" t="s">
        <v>4</v>
      </c>
      <c r="F190" s="24"/>
      <c r="G190" s="24"/>
      <c r="H190" s="24" t="s">
        <v>9</v>
      </c>
      <c r="I190" s="25"/>
      <c r="J190" s="25"/>
    </row>
    <row r="191" spans="2:10" x14ac:dyDescent="0.25">
      <c r="B191" s="21">
        <v>173</v>
      </c>
      <c r="C191" s="22" t="s">
        <v>212</v>
      </c>
      <c r="D191" s="23" t="s">
        <v>256</v>
      </c>
      <c r="E191" s="24" t="s">
        <v>4</v>
      </c>
      <c r="F191" s="24"/>
      <c r="G191" s="24"/>
      <c r="H191" s="24" t="s">
        <v>9</v>
      </c>
      <c r="I191" s="25"/>
      <c r="J191" s="25"/>
    </row>
    <row r="192" spans="2:10" x14ac:dyDescent="0.25">
      <c r="B192" s="21">
        <v>174</v>
      </c>
      <c r="C192" s="22" t="s">
        <v>212</v>
      </c>
      <c r="D192" s="23" t="s">
        <v>257</v>
      </c>
      <c r="E192" s="24" t="s">
        <v>4</v>
      </c>
      <c r="F192" s="24"/>
      <c r="G192" s="24"/>
      <c r="H192" s="24" t="s">
        <v>9</v>
      </c>
      <c r="I192" s="25"/>
      <c r="J192" s="25"/>
    </row>
    <row r="193" spans="2:10" x14ac:dyDescent="0.25">
      <c r="B193" s="21">
        <v>175</v>
      </c>
      <c r="C193" s="22" t="s">
        <v>212</v>
      </c>
      <c r="D193" s="23" t="s">
        <v>258</v>
      </c>
      <c r="E193" s="24" t="s">
        <v>4</v>
      </c>
      <c r="F193" s="24"/>
      <c r="G193" s="24"/>
      <c r="H193" s="24" t="s">
        <v>9</v>
      </c>
      <c r="I193" s="25"/>
      <c r="J193" s="25"/>
    </row>
    <row r="194" spans="2:10" x14ac:dyDescent="0.25">
      <c r="B194" s="21">
        <v>176</v>
      </c>
      <c r="C194" s="22" t="s">
        <v>212</v>
      </c>
      <c r="D194" s="23" t="s">
        <v>259</v>
      </c>
      <c r="E194" s="24" t="s">
        <v>4</v>
      </c>
      <c r="F194" s="24"/>
      <c r="G194" s="24"/>
      <c r="H194" s="24" t="s">
        <v>9</v>
      </c>
      <c r="I194" s="25"/>
      <c r="J194" s="25"/>
    </row>
    <row r="195" spans="2:10" ht="40.5" x14ac:dyDescent="0.25">
      <c r="B195" s="21">
        <v>179</v>
      </c>
      <c r="C195" s="22" t="s">
        <v>284</v>
      </c>
      <c r="D195" s="23" t="s">
        <v>285</v>
      </c>
      <c r="E195" s="24" t="s">
        <v>4</v>
      </c>
      <c r="F195" s="24"/>
      <c r="G195" s="24"/>
      <c r="H195" s="24" t="s">
        <v>11</v>
      </c>
      <c r="I195" s="25"/>
      <c r="J195" s="25"/>
    </row>
    <row r="196" spans="2:10" x14ac:dyDescent="0.25">
      <c r="B196" s="21">
        <v>180</v>
      </c>
      <c r="C196" s="22" t="s">
        <v>286</v>
      </c>
      <c r="D196" s="23" t="s">
        <v>287</v>
      </c>
      <c r="E196" s="24" t="s">
        <v>4</v>
      </c>
      <c r="F196" s="24"/>
      <c r="G196" s="24"/>
      <c r="H196" s="24" t="s">
        <v>11</v>
      </c>
      <c r="I196" s="25"/>
      <c r="J196" s="25"/>
    </row>
    <row r="197" spans="2:10" x14ac:dyDescent="0.25">
      <c r="B197" s="21">
        <v>181</v>
      </c>
      <c r="C197" s="22" t="s">
        <v>286</v>
      </c>
      <c r="D197" s="23" t="s">
        <v>288</v>
      </c>
      <c r="E197" s="24" t="s">
        <v>4</v>
      </c>
      <c r="F197" s="24"/>
      <c r="G197" s="24"/>
      <c r="H197" s="24" t="s">
        <v>11</v>
      </c>
      <c r="I197" s="25"/>
      <c r="J197" s="25"/>
    </row>
    <row r="198" spans="2:10" x14ac:dyDescent="0.25">
      <c r="B198" s="21">
        <v>182</v>
      </c>
      <c r="C198" s="22" t="s">
        <v>174</v>
      </c>
      <c r="D198" s="23" t="s">
        <v>289</v>
      </c>
      <c r="E198" s="24" t="s">
        <v>4</v>
      </c>
      <c r="F198" s="24"/>
      <c r="G198" s="24"/>
      <c r="H198" s="24" t="s">
        <v>12</v>
      </c>
      <c r="I198" s="25"/>
      <c r="J198" s="25"/>
    </row>
    <row r="199" spans="2:10" x14ac:dyDescent="0.25">
      <c r="B199" s="21">
        <v>183</v>
      </c>
      <c r="C199" s="22" t="s">
        <v>290</v>
      </c>
      <c r="D199" s="23" t="s">
        <v>291</v>
      </c>
      <c r="E199" s="24" t="s">
        <v>4</v>
      </c>
      <c r="F199" s="24"/>
      <c r="G199" s="24"/>
      <c r="H199" s="24" t="s">
        <v>12</v>
      </c>
      <c r="I199" s="25"/>
      <c r="J199" s="25"/>
    </row>
    <row r="200" spans="2:10" x14ac:dyDescent="0.25">
      <c r="B200" s="21">
        <v>184</v>
      </c>
      <c r="C200" s="22" t="s">
        <v>292</v>
      </c>
      <c r="D200" s="23" t="s">
        <v>293</v>
      </c>
      <c r="E200" s="24" t="s">
        <v>4</v>
      </c>
      <c r="F200" s="24"/>
      <c r="G200" s="24"/>
      <c r="H200" s="24" t="s">
        <v>12</v>
      </c>
      <c r="I200" s="25"/>
      <c r="J200" s="25"/>
    </row>
    <row r="201" spans="2:10" x14ac:dyDescent="0.25">
      <c r="B201" s="21">
        <v>185</v>
      </c>
      <c r="C201" s="22" t="s">
        <v>294</v>
      </c>
      <c r="D201" s="23" t="s">
        <v>295</v>
      </c>
      <c r="E201" s="24" t="s">
        <v>4</v>
      </c>
      <c r="F201" s="24"/>
      <c r="G201" s="24"/>
      <c r="H201" s="24" t="s">
        <v>12</v>
      </c>
      <c r="I201" s="25"/>
      <c r="J201" s="25"/>
    </row>
    <row r="202" spans="2:10" x14ac:dyDescent="0.25">
      <c r="B202" s="21">
        <v>186</v>
      </c>
      <c r="C202" s="22" t="s">
        <v>296</v>
      </c>
      <c r="D202" s="23" t="s">
        <v>297</v>
      </c>
      <c r="E202" s="24" t="s">
        <v>4</v>
      </c>
      <c r="F202" s="24"/>
      <c r="G202" s="24"/>
      <c r="H202" s="24" t="s">
        <v>12</v>
      </c>
      <c r="I202" s="25"/>
      <c r="J202" s="25"/>
    </row>
    <row r="203" spans="2:10" x14ac:dyDescent="0.25">
      <c r="B203" s="21">
        <v>187</v>
      </c>
      <c r="C203" s="22" t="s">
        <v>286</v>
      </c>
      <c r="D203" s="23" t="s">
        <v>298</v>
      </c>
      <c r="E203" s="24" t="s">
        <v>4</v>
      </c>
      <c r="F203" s="24"/>
      <c r="G203" s="24"/>
      <c r="H203" s="24" t="s">
        <v>12</v>
      </c>
      <c r="I203" s="25"/>
      <c r="J203" s="25"/>
    </row>
    <row r="204" spans="2:10" x14ac:dyDescent="0.25">
      <c r="B204" s="21">
        <v>188</v>
      </c>
      <c r="C204" s="22" t="s">
        <v>286</v>
      </c>
      <c r="D204" s="23" t="s">
        <v>299</v>
      </c>
      <c r="E204" s="24" t="s">
        <v>4</v>
      </c>
      <c r="F204" s="24"/>
      <c r="G204" s="24"/>
      <c r="H204" s="24" t="s">
        <v>12</v>
      </c>
      <c r="I204" s="25"/>
      <c r="J204" s="25"/>
    </row>
    <row r="205" spans="2:10" x14ac:dyDescent="0.25">
      <c r="B205" s="21">
        <v>189</v>
      </c>
      <c r="C205" s="22" t="s">
        <v>300</v>
      </c>
      <c r="D205" s="23" t="s">
        <v>301</v>
      </c>
      <c r="E205" s="24" t="s">
        <v>5</v>
      </c>
      <c r="F205" s="24"/>
      <c r="G205" s="24"/>
      <c r="H205" s="24" t="s">
        <v>11</v>
      </c>
      <c r="I205" s="25"/>
      <c r="J205" s="25"/>
    </row>
    <row r="206" spans="2:10" x14ac:dyDescent="0.25">
      <c r="B206" s="21">
        <v>190</v>
      </c>
      <c r="C206" s="22" t="s">
        <v>302</v>
      </c>
      <c r="D206" s="23" t="s">
        <v>303</v>
      </c>
      <c r="E206" s="24" t="s">
        <v>3</v>
      </c>
      <c r="F206" s="24"/>
      <c r="G206" s="24"/>
      <c r="H206" s="24" t="s">
        <v>11</v>
      </c>
      <c r="I206" s="25"/>
      <c r="J206" s="25"/>
    </row>
    <row r="207" spans="2:10" x14ac:dyDescent="0.25">
      <c r="B207" s="21">
        <v>191</v>
      </c>
      <c r="C207" s="22" t="s">
        <v>125</v>
      </c>
      <c r="D207" s="23" t="s">
        <v>304</v>
      </c>
      <c r="E207" s="24" t="s">
        <v>3</v>
      </c>
      <c r="F207" s="24"/>
      <c r="G207" s="24"/>
      <c r="H207" s="24" t="s">
        <v>11</v>
      </c>
      <c r="I207" s="25"/>
      <c r="J207" s="25"/>
    </row>
    <row r="208" spans="2:10" x14ac:dyDescent="0.25">
      <c r="B208" s="21">
        <v>192</v>
      </c>
      <c r="C208" s="22" t="s">
        <v>302</v>
      </c>
      <c r="D208" s="23" t="s">
        <v>305</v>
      </c>
      <c r="E208" s="24" t="s">
        <v>3</v>
      </c>
      <c r="F208" s="24"/>
      <c r="G208" s="24"/>
      <c r="H208" s="24" t="s">
        <v>11</v>
      </c>
      <c r="I208" s="25"/>
      <c r="J208" s="25"/>
    </row>
    <row r="209" spans="2:10" x14ac:dyDescent="0.25">
      <c r="B209" s="21">
        <v>193</v>
      </c>
      <c r="C209" s="22" t="s">
        <v>110</v>
      </c>
      <c r="D209" s="23" t="s">
        <v>306</v>
      </c>
      <c r="E209" s="24" t="s">
        <v>5</v>
      </c>
      <c r="F209" s="24"/>
      <c r="G209" s="24"/>
      <c r="H209" s="24" t="s">
        <v>12</v>
      </c>
      <c r="I209" s="25"/>
      <c r="J209" s="25"/>
    </row>
    <row r="210" spans="2:10" x14ac:dyDescent="0.25">
      <c r="B210" s="21">
        <v>194</v>
      </c>
      <c r="C210" s="22" t="s">
        <v>139</v>
      </c>
      <c r="D210" s="23" t="s">
        <v>307</v>
      </c>
      <c r="E210" s="24" t="s">
        <v>5</v>
      </c>
      <c r="F210" s="24"/>
      <c r="G210" s="24"/>
      <c r="H210" s="24" t="s">
        <v>12</v>
      </c>
      <c r="I210" s="25"/>
      <c r="J210" s="25"/>
    </row>
    <row r="211" spans="2:10" x14ac:dyDescent="0.25">
      <c r="B211" s="21"/>
      <c r="C211" s="22"/>
      <c r="D211" s="23"/>
      <c r="E211" s="24"/>
      <c r="F211" s="24"/>
      <c r="G211" s="24"/>
      <c r="H211" s="24"/>
      <c r="I211" s="25"/>
      <c r="J211" s="25"/>
    </row>
    <row r="212" spans="2:10" x14ac:dyDescent="0.25">
      <c r="B212" s="21"/>
      <c r="C212" s="22"/>
      <c r="D212" s="23"/>
      <c r="E212" s="24"/>
      <c r="F212" s="24"/>
      <c r="G212" s="24"/>
      <c r="H212" s="24"/>
      <c r="I212" s="25"/>
      <c r="J212" s="25"/>
    </row>
    <row r="213" spans="2:10" x14ac:dyDescent="0.25">
      <c r="B213" s="21"/>
      <c r="C213" s="22"/>
      <c r="D213" s="23"/>
      <c r="E213" s="24"/>
      <c r="F213" s="24"/>
      <c r="G213" s="24"/>
      <c r="H213" s="24"/>
      <c r="I213" s="25"/>
      <c r="J213" s="25"/>
    </row>
    <row r="214" spans="2:10" x14ac:dyDescent="0.25">
      <c r="B214" s="21"/>
      <c r="C214" s="22"/>
      <c r="D214" s="23"/>
      <c r="E214" s="24"/>
      <c r="F214" s="24"/>
      <c r="G214" s="24"/>
      <c r="H214" s="24"/>
      <c r="I214" s="25"/>
      <c r="J214" s="25"/>
    </row>
    <row r="215" spans="2:10" x14ac:dyDescent="0.25">
      <c r="B215" s="21"/>
      <c r="C215" s="22"/>
      <c r="D215" s="23"/>
      <c r="E215" s="24"/>
      <c r="F215" s="24"/>
      <c r="G215" s="24"/>
      <c r="H215" s="24"/>
      <c r="I215" s="25"/>
      <c r="J215" s="25"/>
    </row>
    <row r="216" spans="2:10" x14ac:dyDescent="0.25">
      <c r="B216" s="21"/>
      <c r="C216" s="22"/>
      <c r="D216" s="23"/>
      <c r="E216" s="24"/>
      <c r="F216" s="24"/>
      <c r="G216" s="24"/>
      <c r="H216" s="24"/>
      <c r="I216" s="25"/>
      <c r="J216" s="25"/>
    </row>
    <row r="217" spans="2:10" x14ac:dyDescent="0.25">
      <c r="B217" s="21"/>
      <c r="C217" s="22"/>
      <c r="D217" s="23"/>
      <c r="E217" s="24"/>
      <c r="F217" s="24"/>
      <c r="G217" s="24"/>
      <c r="H217" s="24"/>
      <c r="I217" s="25"/>
      <c r="J217" s="25"/>
    </row>
    <row r="218" spans="2:10" x14ac:dyDescent="0.25">
      <c r="B218" s="21"/>
      <c r="C218" s="22"/>
      <c r="D218" s="23"/>
      <c r="E218" s="24"/>
      <c r="F218" s="24"/>
      <c r="G218" s="24"/>
      <c r="H218" s="24"/>
      <c r="I218" s="25"/>
      <c r="J218" s="25"/>
    </row>
    <row r="219" spans="2:10" x14ac:dyDescent="0.25">
      <c r="B219" s="21"/>
      <c r="C219" s="22"/>
      <c r="D219" s="23"/>
      <c r="E219" s="24"/>
      <c r="F219" s="24"/>
      <c r="G219" s="24"/>
      <c r="H219" s="24"/>
      <c r="I219" s="25"/>
      <c r="J219" s="25"/>
    </row>
    <row r="220" spans="2:10" x14ac:dyDescent="0.25">
      <c r="B220" s="21"/>
      <c r="C220" s="22"/>
      <c r="D220" s="23"/>
      <c r="E220" s="24"/>
      <c r="F220" s="24"/>
      <c r="G220" s="24"/>
      <c r="H220" s="24"/>
      <c r="I220" s="25"/>
      <c r="J220" s="25"/>
    </row>
    <row r="221" spans="2:10" x14ac:dyDescent="0.25">
      <c r="B221" s="21"/>
      <c r="C221" s="22"/>
      <c r="D221" s="23"/>
      <c r="E221" s="24"/>
      <c r="F221" s="24"/>
      <c r="G221" s="24"/>
      <c r="H221" s="24"/>
      <c r="I221" s="25"/>
      <c r="J221" s="25"/>
    </row>
    <row r="222" spans="2:10" x14ac:dyDescent="0.25">
      <c r="B222" s="21"/>
      <c r="C222" s="22"/>
      <c r="D222" s="23"/>
      <c r="E222" s="24"/>
      <c r="F222" s="24"/>
      <c r="G222" s="24"/>
      <c r="H222" s="24"/>
      <c r="I222" s="25"/>
      <c r="J222" s="25"/>
    </row>
    <row r="223" spans="2:10" x14ac:dyDescent="0.25">
      <c r="B223" s="21"/>
      <c r="C223" s="22"/>
      <c r="D223" s="23"/>
      <c r="E223" s="24"/>
      <c r="F223" s="24"/>
      <c r="G223" s="24"/>
      <c r="H223" s="24"/>
      <c r="I223" s="25"/>
      <c r="J223" s="25"/>
    </row>
    <row r="224" spans="2:10" x14ac:dyDescent="0.25">
      <c r="B224" s="21"/>
      <c r="C224" s="22"/>
      <c r="D224" s="23"/>
      <c r="E224" s="24"/>
      <c r="F224" s="24"/>
      <c r="G224" s="24"/>
      <c r="H224" s="24"/>
      <c r="I224" s="25"/>
      <c r="J224" s="25"/>
    </row>
    <row r="225" spans="2:10" x14ac:dyDescent="0.25">
      <c r="B225" s="21"/>
      <c r="C225" s="22"/>
      <c r="D225" s="23"/>
      <c r="E225" s="24"/>
      <c r="F225" s="24"/>
      <c r="G225" s="24"/>
      <c r="H225" s="24"/>
      <c r="I225" s="25"/>
      <c r="J225" s="25"/>
    </row>
    <row r="226" spans="2:10" x14ac:dyDescent="0.25">
      <c r="B226" s="21"/>
      <c r="C226" s="22"/>
      <c r="D226" s="23"/>
      <c r="E226" s="24"/>
      <c r="F226" s="24"/>
      <c r="G226" s="24"/>
      <c r="H226" s="24"/>
      <c r="I226" s="25"/>
      <c r="J226" s="25"/>
    </row>
    <row r="227" spans="2:10" x14ac:dyDescent="0.25">
      <c r="B227" s="21"/>
      <c r="C227" s="22"/>
      <c r="D227" s="23"/>
      <c r="E227" s="24"/>
      <c r="F227" s="24"/>
      <c r="G227" s="24"/>
      <c r="H227" s="24"/>
      <c r="I227" s="25"/>
      <c r="J227" s="25"/>
    </row>
    <row r="228" spans="2:10" x14ac:dyDescent="0.25">
      <c r="B228" s="21"/>
      <c r="C228" s="22"/>
      <c r="D228" s="23"/>
      <c r="E228" s="24"/>
      <c r="F228" s="24"/>
      <c r="G228" s="24"/>
      <c r="H228" s="24"/>
      <c r="I228" s="25"/>
      <c r="J228" s="25"/>
    </row>
    <row r="229" spans="2:10" x14ac:dyDescent="0.25">
      <c r="B229" s="21"/>
      <c r="C229" s="22"/>
      <c r="D229" s="23"/>
      <c r="E229" s="24"/>
      <c r="F229" s="24"/>
      <c r="G229" s="24"/>
      <c r="H229" s="24"/>
      <c r="I229" s="25"/>
      <c r="J229" s="25"/>
    </row>
    <row r="230" spans="2:10" x14ac:dyDescent="0.25">
      <c r="B230" s="21"/>
      <c r="C230" s="22"/>
      <c r="D230" s="23"/>
      <c r="E230" s="24"/>
      <c r="F230" s="24"/>
      <c r="G230" s="24"/>
      <c r="H230" s="24"/>
      <c r="I230" s="25"/>
      <c r="J230" s="25"/>
    </row>
    <row r="231" spans="2:10" x14ac:dyDescent="0.25">
      <c r="B231" s="21"/>
      <c r="C231" s="22"/>
      <c r="D231" s="23"/>
      <c r="E231" s="24"/>
      <c r="F231" s="24"/>
      <c r="G231" s="24"/>
      <c r="H231" s="24"/>
      <c r="I231" s="25"/>
      <c r="J231" s="25"/>
    </row>
    <row r="232" spans="2:10" x14ac:dyDescent="0.25">
      <c r="B232" s="21"/>
      <c r="C232" s="22"/>
      <c r="D232" s="23"/>
      <c r="E232" s="24"/>
      <c r="F232" s="24"/>
      <c r="G232" s="24"/>
      <c r="H232" s="24"/>
      <c r="I232" s="25"/>
      <c r="J232" s="25"/>
    </row>
    <row r="233" spans="2:10" x14ac:dyDescent="0.25">
      <c r="B233" s="21"/>
      <c r="C233" s="22"/>
      <c r="D233" s="23"/>
      <c r="E233" s="24"/>
      <c r="F233" s="24"/>
      <c r="G233" s="24"/>
      <c r="H233" s="24"/>
      <c r="I233" s="25"/>
      <c r="J233" s="25"/>
    </row>
    <row r="234" spans="2:10" x14ac:dyDescent="0.25">
      <c r="B234" s="21"/>
      <c r="C234" s="22"/>
      <c r="D234" s="23"/>
      <c r="E234" s="24"/>
      <c r="F234" s="24"/>
      <c r="G234" s="24"/>
      <c r="H234" s="24"/>
      <c r="I234" s="25"/>
      <c r="J234" s="25"/>
    </row>
    <row r="235" spans="2:10" x14ac:dyDescent="0.25">
      <c r="B235" s="21"/>
      <c r="C235" s="22"/>
      <c r="D235" s="23"/>
      <c r="E235" s="24"/>
      <c r="F235" s="24"/>
      <c r="G235" s="24"/>
      <c r="H235" s="24"/>
      <c r="I235" s="25"/>
      <c r="J235" s="25"/>
    </row>
    <row r="236" spans="2:10" x14ac:dyDescent="0.25">
      <c r="B236" s="21"/>
      <c r="C236" s="22"/>
      <c r="D236" s="23"/>
      <c r="E236" s="24"/>
      <c r="F236" s="24"/>
      <c r="G236" s="24"/>
      <c r="H236" s="24"/>
      <c r="I236" s="25"/>
      <c r="J236" s="25"/>
    </row>
    <row r="237" spans="2:10" x14ac:dyDescent="0.25">
      <c r="B237" s="21"/>
      <c r="C237" s="22"/>
      <c r="D237" s="23"/>
      <c r="E237" s="24"/>
      <c r="F237" s="24"/>
      <c r="G237" s="24"/>
      <c r="H237" s="24"/>
      <c r="I237" s="25"/>
      <c r="J237" s="25"/>
    </row>
    <row r="238" spans="2:10" x14ac:dyDescent="0.25">
      <c r="B238" s="21"/>
      <c r="C238" s="22"/>
      <c r="D238" s="23"/>
      <c r="E238" s="24"/>
      <c r="F238" s="24"/>
      <c r="G238" s="24"/>
      <c r="H238" s="24"/>
      <c r="I238" s="25"/>
      <c r="J238" s="25"/>
    </row>
    <row r="239" spans="2:10" x14ac:dyDescent="0.25">
      <c r="B239" s="21"/>
      <c r="C239" s="22"/>
      <c r="D239" s="23"/>
      <c r="E239" s="24"/>
      <c r="F239" s="24"/>
      <c r="G239" s="24"/>
      <c r="H239" s="24"/>
      <c r="I239" s="25"/>
      <c r="J239" s="25"/>
    </row>
    <row r="240" spans="2:10" x14ac:dyDescent="0.25">
      <c r="B240" s="21"/>
      <c r="C240" s="22"/>
      <c r="D240" s="23"/>
      <c r="E240" s="24"/>
      <c r="F240" s="24"/>
      <c r="G240" s="24"/>
      <c r="H240" s="24"/>
      <c r="I240" s="25"/>
      <c r="J240" s="25"/>
    </row>
    <row r="241" spans="2:10" x14ac:dyDescent="0.25">
      <c r="B241" s="21"/>
      <c r="C241" s="22"/>
      <c r="D241" s="23"/>
      <c r="E241" s="24"/>
      <c r="F241" s="24"/>
      <c r="G241" s="24"/>
      <c r="H241" s="24"/>
      <c r="I241" s="25"/>
      <c r="J241" s="25"/>
    </row>
    <row r="242" spans="2:10" x14ac:dyDescent="0.25">
      <c r="B242" s="21"/>
      <c r="C242" s="22"/>
      <c r="D242" s="23"/>
      <c r="E242" s="24"/>
      <c r="F242" s="24"/>
      <c r="G242" s="24"/>
      <c r="H242" s="24"/>
      <c r="I242" s="25"/>
      <c r="J242" s="25"/>
    </row>
    <row r="243" spans="2:10" x14ac:dyDescent="0.25">
      <c r="B243" s="21"/>
      <c r="C243" s="22"/>
      <c r="D243" s="23"/>
      <c r="E243" s="24"/>
      <c r="F243" s="24"/>
      <c r="G243" s="24"/>
      <c r="H243" s="24"/>
      <c r="I243" s="25"/>
      <c r="J243" s="25"/>
    </row>
    <row r="244" spans="2:10" x14ac:dyDescent="0.25">
      <c r="B244" s="21"/>
      <c r="C244" s="22"/>
      <c r="D244" s="23"/>
      <c r="E244" s="24"/>
      <c r="F244" s="24"/>
      <c r="G244" s="24"/>
      <c r="H244" s="24"/>
      <c r="I244" s="25"/>
      <c r="J244" s="25"/>
    </row>
    <row r="245" spans="2:10" x14ac:dyDescent="0.25">
      <c r="B245" s="21"/>
      <c r="C245" s="22"/>
      <c r="D245" s="23"/>
      <c r="E245" s="24"/>
      <c r="F245" s="24"/>
      <c r="G245" s="24"/>
      <c r="H245" s="24"/>
      <c r="I245" s="25"/>
      <c r="J245" s="25"/>
    </row>
    <row r="246" spans="2:10" x14ac:dyDescent="0.25">
      <c r="B246" s="21"/>
      <c r="C246" s="22"/>
      <c r="D246" s="23"/>
      <c r="E246" s="24"/>
      <c r="F246" s="24"/>
      <c r="G246" s="24"/>
      <c r="H246" s="24"/>
      <c r="I246" s="25"/>
      <c r="J246" s="25"/>
    </row>
    <row r="247" spans="2:10" x14ac:dyDescent="0.25">
      <c r="B247" s="21"/>
      <c r="C247" s="22"/>
      <c r="D247" s="23"/>
      <c r="E247" s="24"/>
      <c r="F247" s="24"/>
      <c r="G247" s="24"/>
      <c r="H247" s="24"/>
      <c r="I247" s="25"/>
      <c r="J247" s="25"/>
    </row>
    <row r="248" spans="2:10" x14ac:dyDescent="0.25">
      <c r="B248" s="26"/>
      <c r="C248" s="26"/>
      <c r="D248" s="26"/>
      <c r="E248" s="26"/>
      <c r="F248" s="26"/>
      <c r="G248" s="26"/>
      <c r="H248" s="26"/>
      <c r="I248" s="26"/>
      <c r="J248" s="26"/>
    </row>
  </sheetData>
  <mergeCells count="4">
    <mergeCell ref="B6:C6"/>
    <mergeCell ref="B11:C11"/>
    <mergeCell ref="C8:C9"/>
    <mergeCell ref="B8:B9"/>
  </mergeCells>
  <conditionalFormatting sqref="B13:J247">
    <cfRule type="expression" dxfId="2" priority="1">
      <formula>$H13="In Progress"</formula>
    </cfRule>
    <cfRule type="expression" dxfId="1" priority="2">
      <formula>$H13="Closed"</formula>
    </cfRule>
    <cfRule type="expression" dxfId="0" priority="3">
      <formula>$H13="Retest"</formula>
    </cfRule>
  </conditionalFormatting>
  <dataValidations count="2">
    <dataValidation type="list" allowBlank="1" showInputMessage="1" showErrorMessage="1" sqref="H13 H14:H247" xr:uid="{BC7A51A1-A261-4287-90BE-9E44AA681871}">
      <formula1>$E$6:$E$9</formula1>
    </dataValidation>
    <dataValidation type="list" allowBlank="1" showInputMessage="1" showErrorMessage="1" error="Please select a priority level from the list." sqref="E14:E247" xr:uid="{25B8D43A-C4E7-4DCD-9407-5BDDB17BFA14}">
      <formula1>$F$5:$H$5</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Hochwender, Jason</dc:creator>
  <cp:lastModifiedBy>Hochwender, Jason</cp:lastModifiedBy>
  <dcterms:created xsi:type="dcterms:W3CDTF">2025-11-25T14:30:05Z</dcterms:created>
  <dcterms:modified xsi:type="dcterms:W3CDTF">2026-08-22T00:08:55Z</dcterms:modified>
</cp:coreProperties>
</file>